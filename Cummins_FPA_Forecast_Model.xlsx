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tart Here" sheetId="1" state="visible" r:id="rId3"/>
    <sheet name="Dashboard" sheetId="2" state="visible" r:id="rId4"/>
    <sheet name="Inputs" sheetId="3" state="visible" r:id="rId5"/>
    <sheet name="Forecast" sheetId="4" state="visible" r:id="rId6"/>
    <sheet name="Variance" sheetId="5" state="visible" r:id="rId7"/>
    <sheet name="Backtest" sheetId="6" state="visible" r:id="rId8"/>
    <sheet name="Change Log" sheetId="7" state="visible" r:id="rId9"/>
    <sheet name="Historicals" sheetId="8" state="visible" r:id="rId10"/>
    <sheet name="Scenario Calc" sheetId="9" state="visible" r:id="rId11"/>
    <sheet name="Chart 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<sst xmlns="http://schemas.openxmlformats.org/spreadsheetml/2006/main" count="620" uniqueCount="433">
  <si>
    <t xml:space="preserve">Cummins 2026 Forecast: Start Here</t>
  </si>
  <si>
    <t xml:space="preserve">A plain-English guide to this workbook. No finance background needed.</t>
  </si>
  <si>
    <t xml:space="preserve">What this workbook does</t>
  </si>
  <si>
    <t xml:space="preserve">Cummins is an Indiana-based company that makes engines, parts and power generators. This workbook predicts its sales and profit</t>
  </si>
  <si>
    <t xml:space="preserve">for the rest of 2026, business by business. The Q3 2026 prediction (v1.1) was frozen on October 8, 2026, before Cummins reports.</t>
  </si>
  <si>
    <t xml:space="preserve">When the real results come out (early November 2026), the Variance tab shows how close the prediction was, and why.</t>
  </si>
  <si>
    <t xml:space="preserve">How to use it in 3 steps</t>
  </si>
  <si>
    <t xml:space="preserve">1. Look</t>
  </si>
  <si>
    <t xml:space="preserve">Open the Dashboard for the headline numbers and charts.</t>
  </si>
  <si>
    <t xml:space="preserve">2. Play</t>
  </si>
  <si>
    <t xml:space="preserve">On the Dashboard, pick Bear, Base, Bull or Custom in the scenario box to see what happens if demand surprises.</t>
  </si>
  <si>
    <t xml:space="preserve">3. Score</t>
  </si>
  <si>
    <t xml:space="preserve">After Cummins reports Q3, type its numbers into the yellow cells on the Variance tab.</t>
  </si>
  <si>
    <t xml:space="preserve">Tab guide</t>
  </si>
  <si>
    <t xml:space="preserve">Tab</t>
  </si>
  <si>
    <t xml:space="preserve">What it shows</t>
  </si>
  <si>
    <t xml:space="preserve">Can I change it?</t>
  </si>
  <si>
    <t xml:space="preserve">Headline numbers, scenario explorer and charts</t>
  </si>
  <si>
    <t xml:space="preserve">Yes: the scenario box and yellow Custom cells</t>
  </si>
  <si>
    <t xml:space="preserve">The assumptions behind the forecast, each with a reason</t>
  </si>
  <si>
    <t xml:space="preserve">Yes, but this changes the locked budget</t>
  </si>
  <si>
    <t xml:space="preserve">Q3 and Q4 2026 predictions for each business</t>
  </si>
  <si>
    <t xml:space="preserve">No: all calculated</t>
  </si>
  <si>
    <t xml:space="preserve">Prediction vs real results, once they are out</t>
  </si>
  <si>
    <t xml:space="preserve">Yes: the yellow cells, after results</t>
  </si>
  <si>
    <t xml:space="preserve">What Cummins actually reported, Q1 2025 to Q2 2026</t>
  </si>
  <si>
    <t xml:space="preserve">No: copied from official filings</t>
  </si>
  <si>
    <t xml:space="preserve">How accurate this method was on past quarters</t>
  </si>
  <si>
    <t xml:space="preserve">What changed after the review, and why</t>
  </si>
  <si>
    <t xml:space="preserve">No: a record</t>
  </si>
  <si>
    <t xml:space="preserve">The maths behind the scenario explorer</t>
  </si>
  <si>
    <t xml:space="preserve">Numbers that feed the dashboard charts</t>
  </si>
  <si>
    <t xml:space="preserve">Colour guide</t>
  </si>
  <si>
    <t xml:space="preserve">1,234</t>
  </si>
  <si>
    <t xml:space="preserve">Blue number: typed in from an official source or an assumption</t>
  </si>
  <si>
    <t xml:space="preserve">Black number: calculated by a formula</t>
  </si>
  <si>
    <t xml:space="preserve">Green number: pulled from another tab</t>
  </si>
  <si>
    <t xml:space="preserve">type here</t>
  </si>
  <si>
    <t xml:space="preserve">Yellow cell: you can type here</t>
  </si>
  <si>
    <t xml:space="preserve">Beat</t>
  </si>
  <si>
    <t xml:space="preserve">Green box: better than budget, or inside the company's targets</t>
  </si>
  <si>
    <t xml:space="preserve">Missed</t>
  </si>
  <si>
    <t xml:space="preserve">Red box: worse than budget, or outside the company's targets</t>
  </si>
  <si>
    <t xml:space="preserve">Engine</t>
  </si>
  <si>
    <t xml:space="preserve">Each business keeps the same colour on every tab and chart</t>
  </si>
  <si>
    <t xml:space="preserve">Components</t>
  </si>
  <si>
    <t xml:space="preserve">Distribution</t>
  </si>
  <si>
    <t xml:space="preserve">Power Systems</t>
  </si>
  <si>
    <t xml:space="preserve">Accelera</t>
  </si>
  <si>
    <t xml:space="preserve">Words used in this workbook</t>
  </si>
  <si>
    <t xml:space="preserve">Net sales</t>
  </si>
  <si>
    <t xml:space="preserve">Money received from customers, after removing sales between Cummins' own divisions.</t>
  </si>
  <si>
    <t xml:space="preserve">EBITDA</t>
  </si>
  <si>
    <t xml:space="preserve">Profit before interest, taxes and depreciation (wear and tear on equipment). A common measure of operating profit.</t>
  </si>
  <si>
    <t xml:space="preserve">Adjusted EBITDA</t>
  </si>
  <si>
    <t xml:space="preserve">EBITDA without one-off charges, such as the cost of closing or selling a business.</t>
  </si>
  <si>
    <t xml:space="preserve">Margin</t>
  </si>
  <si>
    <t xml:space="preserve">Profit as a share of sales. An 18% margin means 18 cents of profit for every $1 of sales.</t>
  </si>
  <si>
    <t xml:space="preserve">YoY</t>
  </si>
  <si>
    <t xml:space="preserve">Year over year: a quarter compared with the same quarter a year earlier.</t>
  </si>
  <si>
    <t xml:space="preserve">Segment</t>
  </si>
  <si>
    <t xml:space="preserve">One of Cummins' five business divisions (Engine, Components, Distribution, Power Systems, Accelera).</t>
  </si>
  <si>
    <t xml:space="preserve">Budget / forecast</t>
  </si>
  <si>
    <t xml:space="preserve">The prediction made before results are known. Here, v1.1 locked on October 8, 2026.</t>
  </si>
  <si>
    <t xml:space="preserve">Actual</t>
  </si>
  <si>
    <t xml:space="preserve">What Cummins really reported.</t>
  </si>
  <si>
    <t xml:space="preserve">Variance</t>
  </si>
  <si>
    <t xml:space="preserve">The gap between actual and budget. Positive (green) means better than budget.</t>
  </si>
  <si>
    <t xml:space="preserve">Guidance</t>
  </si>
  <si>
    <t xml:space="preserve">The range of results Cummins' management has told investors to expect for the year.</t>
  </si>
  <si>
    <t xml:space="preserve">Pre-buy</t>
  </si>
  <si>
    <t xml:space="preserve">Truck fleets buying early, before new 2027 emissions rules make trucks more expensive.</t>
  </si>
  <si>
    <t xml:space="preserve">Eliminations</t>
  </si>
  <si>
    <t xml:space="preserve">Sales between Cummins' own divisions, removed so nothing is counted twice.</t>
  </si>
  <si>
    <t xml:space="preserve">$M / $B</t>
  </si>
  <si>
    <t xml:space="preserve">Millions / billions of US dollars. Most tables are in $ millions.</t>
  </si>
  <si>
    <t xml:space="preserve">Sources</t>
  </si>
  <si>
    <t xml:space="preserve">Cummins Q2 2026 earnings release (8-K Ex.99, Aug 4 2026), segment tables: https://www.sec.gov/Archives/edgar/data/0000026172/000002617226000026/cmi2026q28-kex99.htm</t>
  </si>
  <si>
    <t xml:space="preserve">Cummins Q3 2025 earnings release (8-K Ex.99, Nov 6 2025), segment table: https://www.sec.gov/Archives/edgar/data/26172/000002617225000036/cmi2025q38-kex99.htm</t>
  </si>
  <si>
    <t xml:space="preserve">Cummins Q4/FY2025 earnings release (8-K Ex.99, Feb 5 2026), segment tables: https://www.sec.gov/Archives/edgar/data/26172/000002617226000004/cmi2025q48-kex99.htm</t>
  </si>
  <si>
    <t xml:space="preserve">Segment guidance (Power Systems revenue +14% to +19%; Power Systems EBITDA about 25-26%; Distribution EBITDA 13.7-14.7%): Q2 2026 earnings call (Aug 4, 2026). Consensus: Yahoo Finance, Oct 8, 2026.</t>
  </si>
  <si>
    <t xml:space="preserve">Cummins 2026 Forecast Dashboard</t>
  </si>
  <si>
    <t xml:space="preserve">Will Cummins hit its 2026 targets? Budget v1.1 locked October 8, 2026, before Q3 results (see Change Log). $B = billions of US dollars.</t>
  </si>
  <si>
    <t xml:space="preserve">Jump to:</t>
  </si>
  <si>
    <t xml:space="preserve">2026 SALES (FORECAST)</t>
  </si>
  <si>
    <t xml:space="preserve">2026 PROFIT (ADJUSTED EBITDA)</t>
  </si>
  <si>
    <t xml:space="preserve">PROFIT MARGIN</t>
  </si>
  <si>
    <t xml:space="preserve">ON TRACK WITH COMPANY TARGETS?</t>
  </si>
  <si>
    <t xml:space="preserve">Q3 2026 check-in: the numbers to beat</t>
  </si>
  <si>
    <t xml:space="preserve">Q3 sales budget</t>
  </si>
  <si>
    <t xml:space="preserve">Q3 profit margin budget</t>
  </si>
  <si>
    <t xml:space="preserve">Wall Street expects (Q3 sales)</t>
  </si>
  <si>
    <t xml:space="preserve">Scenario explorer: what if demand turns out better or worse?</t>
  </si>
  <si>
    <t xml:space="preserve">Pick a scenario →</t>
  </si>
  <si>
    <t xml:space="preserve">Base</t>
  </si>
  <si>
    <t xml:space="preserve">Change vs budget, H2 2026</t>
  </si>
  <si>
    <t xml:space="preserve">Bear</t>
  </si>
  <si>
    <t xml:space="preserve">Bull</t>
  </si>
  <si>
    <t xml:space="preserve">Custom</t>
  </si>
  <si>
    <t xml:space="preserve">Your pick</t>
  </si>
  <si>
    <t xml:space="preserve">Truck demand: Engine and Components growth</t>
  </si>
  <si>
    <t xml:space="preserve">Data center demand: Power Systems and Distribution growth</t>
  </si>
  <si>
    <t xml:space="preserve">Profit margin on the four main businesses</t>
  </si>
  <si>
    <t xml:space="preserve">Full-year 2026 result</t>
  </si>
  <si>
    <t xml:space="preserve">Target low</t>
  </si>
  <si>
    <t xml:space="preserve">Target high</t>
  </si>
  <si>
    <t xml:space="preserve">Sales</t>
  </si>
  <si>
    <t xml:space="preserve">Sales growth vs 2025</t>
  </si>
  <si>
    <t xml:space="preserve">Adjusted EBITDA (profit)</t>
  </si>
  <si>
    <t xml:space="preserve">Profit margin</t>
  </si>
  <si>
    <t xml:space="preserve">Hits both company targets?</t>
  </si>
  <si>
    <t xml:space="preserve">Scenarios are what-ifs only: they never change the locked budget that is scored on the Variance tab.</t>
  </si>
  <si>
    <t xml:space="preserve">The five businesses: where sales and profit come from</t>
  </si>
  <si>
    <t xml:space="preserve">Business</t>
  </si>
  <si>
    <t xml:space="preserve">What it sells</t>
  </si>
  <si>
    <t xml:space="preserve">2025 sales</t>
  </si>
  <si>
    <t xml:space="preserve">2026 forecast</t>
  </si>
  <si>
    <t xml:space="preserve">Growth</t>
  </si>
  <si>
    <t xml:space="preserve">Share of profit</t>
  </si>
  <si>
    <t xml:space="preserve">Diesel and natural gas engines for trucks, buses and machinery</t>
  </si>
  <si>
    <t xml:space="preserve">Axles, brakes, turbochargers and exhaust-cleaning systems</t>
  </si>
  <si>
    <t xml:space="preserve">Dealers that sell and service Cummins products, incl. generators</t>
  </si>
  <si>
    <t xml:space="preserve">Large generators, including backup power for data centers</t>
  </si>
  <si>
    <t xml:space="preserve">Batteries and electric drive systems (zero emissions)</t>
  </si>
  <si>
    <t xml:space="preserve">Loss-making</t>
  </si>
  <si>
    <t xml:space="preserve">Share of profit = each business's 2026 EBITDA as a share of the four profitable businesses combined.</t>
  </si>
  <si>
    <t xml:space="preserve">Charts</t>
  </si>
  <si>
    <t xml:space="preserve">Forecast drivers (edit blue cells only)</t>
  </si>
  <si>
    <t xml:space="preserve">The assumptions behind the budget. Changing a yellow cell changes the locked budget; to explore what-ifs, use the Dashboard's scenario explorer instead.</t>
  </si>
  <si>
    <t xml:space="preserve">Driver</t>
  </si>
  <si>
    <t xml:space="preserve">Q3 2026</t>
  </si>
  <si>
    <t xml:space="preserve">Q4 2026</t>
  </si>
  <si>
    <t xml:space="preserve">Rationale</t>
  </si>
  <si>
    <t xml:space="preserve">Engine unit growth (YoY)</t>
  </si>
  <si>
    <t xml:space="preserve">v1.1: with +3.5% price gives segment sales +16% / +23%. Sized so H2 lands inside Cummins' FY Engine guide of +9% to +14% (Aug 4, 2026 call). Q3 kept ~2% below Q2 (seasonal dip; 2024-25 dips of 8-10% were downturn years). NA heavy-duty build 240-250k, 'largely set' for H2.</t>
  </si>
  <si>
    <t xml:space="preserve">Engine price/mix per unit (YoY)</t>
  </si>
  <si>
    <t xml:space="preserve">Sales per unit rose about 3% YoY in Q2'26 (pricing plus China off-highway mix).</t>
  </si>
  <si>
    <t xml:space="preserve">Engine EBITDA margin</t>
  </si>
  <si>
    <t xml:space="preserve">v1.1: FY Engine guide 12.5%-13.25% (Aug 4, 2026); its midpoint needs ~14.1% in H2 because H1 was 11.6%. H2 incentive comp ~$25M/qtr lower than Q2 (CFO).</t>
  </si>
  <si>
    <t xml:space="preserve">Components sales growth (YoY)</t>
  </si>
  <si>
    <t xml:space="preserve">v1.1: FY Components guide +8% to +13% (Aug 4, 2026). Truck-linked like Engine; Q3 about 6.5% below Q2 (seasonal), recovery weighted to Q4.</t>
  </si>
  <si>
    <t xml:space="preserve">Components EBITDA margin</t>
  </si>
  <si>
    <t xml:space="preserve">v1.1: FY guide 13.5%-14.25%; its midpoint needs ~14.5% in H2 (H1 was 13.2%).</t>
  </si>
  <si>
    <t xml:space="preserve">Distribution sales growth (YoY)</t>
  </si>
  <si>
    <t xml:space="preserve">v1.1: FY guide +9% to +14% (Aug 4, 2026); H1 was +8.3%. Data center generator demand; Q4 2025 base weakest in H2.</t>
  </si>
  <si>
    <t xml:space="preserve">Distribution EBITDA margin</t>
  </si>
  <si>
    <t xml:space="preserve">v1.1: current FY guide 13.5%-14.25% (lowered on Aug 4 from 13.7%-14.7%, which v1.0 wrongly cited). H1 was 13.9%.</t>
  </si>
  <si>
    <t xml:space="preserve">Power Systems sales growth (YoY)</t>
  </si>
  <si>
    <t xml:space="preserve">v1.1: FY guide +14% to +19% (Aug 4, 2026); H1 already +19%. Q4 2025 base is tougher (+11% YoY then). FY lands ~+17.7%.</t>
  </si>
  <si>
    <t xml:space="preserve">Power Systems EBITDA margin</t>
  </si>
  <si>
    <t xml:space="preserve">v1.1: FY guide 25.0%-25.75%. H1 ran 26.8%, so the midpoint implies ~24.1% in H2. v1.0's 25.5% put FY at 26.1%, above the range.</t>
  </si>
  <si>
    <t xml:space="preserve">Accelera and corporate</t>
  </si>
  <si>
    <t xml:space="preserve">Accelera sales growth (YoY)</t>
  </si>
  <si>
    <t xml:space="preserve">v1.1: FY Accelera revenue guide $350M-$400M (Aug 4, 2026); H1 was $246M, so H2 is ~$130M (~$65M/qtr) after the electrolyzer exit and fuel cell sale.</t>
  </si>
  <si>
    <t xml:space="preserve">Accelera EBITDA ($mm)</t>
  </si>
  <si>
    <t xml:space="preserve">v1.1: FY loss guide $260M-$290M excluding the fuel cell charge; H1 underlying loss $147M, so H2 ~$130M.</t>
  </si>
  <si>
    <t xml:space="preserve">Eliminations (% of total segment sales)</t>
  </si>
  <si>
    <t xml:space="preserve">v1.1: Q3'25 18.6%, Q4'25 17.8%, Q1'26 19.1%, Q2'26 19.2%; average of the last four quarters.</t>
  </si>
  <si>
    <t xml:space="preserve">Eliminations and corporate EBITDA ($mm)</t>
  </si>
  <si>
    <t xml:space="preserve">v1.1: Q2'26 was -$48M including an incentive-comp top-up; CFO said H2 incentive comp ~$25M/qtr lower. 2025 H2 ran +$21M/+$22M.</t>
  </si>
  <si>
    <t xml:space="preserve">Below EBITDA (for EPS)</t>
  </si>
  <si>
    <t xml:space="preserve">Depreciation and amortization ($mm)</t>
  </si>
  <si>
    <t xml:space="preserve">Q1'26 $280M, Q2'26 $280M; rising with capacity investment.</t>
  </si>
  <si>
    <t xml:space="preserve">Interest expense ($mm)</t>
  </si>
  <si>
    <t xml:space="preserve">Q1'26 $76M, Q2'26 $80M.</t>
  </si>
  <si>
    <t xml:space="preserve">Tax rate</t>
  </si>
  <si>
    <t xml:space="preserve">Cummins' 2026 effective tax rate guidance of about 23.0% excluding discrete items (Q2 2026 release).</t>
  </si>
  <si>
    <t xml:space="preserve">Noncontrolling interests ($mm)</t>
  </si>
  <si>
    <t xml:space="preserve">Q1'26 $26M, Q2'26 $36M.</t>
  </si>
  <si>
    <t xml:space="preserve">Diluted shares (millions)</t>
  </si>
  <si>
    <t xml:space="preserve">Q2'26 diluted share count 138.5M.</t>
  </si>
  <si>
    <t xml:space="preserve">Management guidance (for the FY2026 check)</t>
  </si>
  <si>
    <t xml:space="preserve">FY2026 revenue growth - low</t>
  </si>
  <si>
    <t xml:space="preserve">Raised Aug 4, 2026 from +8% to +11%.</t>
  </si>
  <si>
    <t xml:space="preserve">FY2026 revenue growth - high</t>
  </si>
  <si>
    <t xml:space="preserve">FY2026 EBITDA margin - low</t>
  </si>
  <si>
    <t xml:space="preserve">Excludes the Q1'26 fuel cell sale charges.</t>
  </si>
  <si>
    <t xml:space="preserve">FY2026 EBITDA margin - high</t>
  </si>
  <si>
    <t xml:space="preserve">Source: Cummins Q2 2026 earnings release (8-K Ex.99, Aug 4 2026), segment tables: https://www.sec.gov/Archives/edgar/data/0000026172/000002617226000026/cmi2026q28-kex99.htm</t>
  </si>
  <si>
    <t xml:space="preserve">Segment guidance for FY2026 (Cummins Q2 2026 earnings call, Aug 4, 2026)</t>
  </si>
  <si>
    <t xml:space="preserve">Low</t>
  </si>
  <si>
    <t xml:space="preserve">High</t>
  </si>
  <si>
    <t xml:space="preserve">Measure</t>
  </si>
  <si>
    <t xml:space="preserve">Engine revenue growth</t>
  </si>
  <si>
    <t xml:space="preserve">FY2026 vs FY2025</t>
  </si>
  <si>
    <t xml:space="preserve">FY2026, % of segment sales</t>
  </si>
  <si>
    <t xml:space="preserve">Components revenue growth</t>
  </si>
  <si>
    <t xml:space="preserve">Distribution revenue growth</t>
  </si>
  <si>
    <t xml:space="preserve">Power Systems revenue growth</t>
  </si>
  <si>
    <t xml:space="preserve">Accelera revenue ($mm)</t>
  </si>
  <si>
    <t xml:space="preserve">Accelera EBITDA loss ($mm)</t>
  </si>
  <si>
    <t xml:space="preserve">Source: Cummins Q2 2026 earnings call transcript (The Motley Fool, Aug 2026): https://www.fool.com/earnings/call-transcripts/2026/08/11/cummins-cmi-q2-2026-earnings-call-transcript/</t>
  </si>
  <si>
    <t xml:space="preserve">Analyst consensus (Yahoo Finance, as of Oct 8, 2026)</t>
  </si>
  <si>
    <t xml:space="preserve">Item</t>
  </si>
  <si>
    <t xml:space="preserve">Consensus</t>
  </si>
  <si>
    <t xml:space="preserve">Analysts</t>
  </si>
  <si>
    <t xml:space="preserve">Range</t>
  </si>
  <si>
    <t xml:space="preserve">Q3 2026 revenue ($mm)</t>
  </si>
  <si>
    <t xml:space="preserve">$9.44B-$10.30B</t>
  </si>
  <si>
    <t xml:space="preserve">Q4 2026 revenue ($mm)</t>
  </si>
  <si>
    <t xml:space="preserve">$9.39B-$10.55B</t>
  </si>
  <si>
    <t xml:space="preserve">FY2026 revenue ($mm)</t>
  </si>
  <si>
    <t xml:space="preserve">$36.03B-$38.73B</t>
  </si>
  <si>
    <t xml:space="preserve">Q3 2026 EPS ($)</t>
  </si>
  <si>
    <t xml:space="preserve">$8.01-$8.94</t>
  </si>
  <si>
    <t xml:space="preserve">Q4 2026 EPS ($)</t>
  </si>
  <si>
    <t xml:space="preserve">$8.03-$9.00</t>
  </si>
  <si>
    <t xml:space="preserve">FY2027 revenue ($mm)</t>
  </si>
  <si>
    <t xml:space="preserve">$38.54B-$43.16B</t>
  </si>
  <si>
    <t xml:space="preserve">Source: https://finance.yahoo.com/quote/CMI/analysis/ (accessed Oct 8, 2026). EPS basis (GAAP vs adjusted) not stated by the source.</t>
  </si>
  <si>
    <t xml:space="preserve">Q3 and Q4 2026 budget by segment ($ millions)</t>
  </si>
  <si>
    <t xml:space="preserve">What Cummins is forecast to sell and earn in Q3 and Q4 2026, by business. Orange columns are the forecast; B = budget, A = actual.</t>
  </si>
  <si>
    <t xml:space="preserve">Q3 2025A</t>
  </si>
  <si>
    <t xml:space="preserve">Q3 2026B</t>
  </si>
  <si>
    <t xml:space="preserve">Q4 2025A</t>
  </si>
  <si>
    <t xml:space="preserve">Q4 2026B</t>
  </si>
  <si>
    <t xml:space="preserve">H1 2026A</t>
  </si>
  <si>
    <t xml:space="preserve">FY2026B</t>
  </si>
  <si>
    <t xml:space="preserve">FY2025A</t>
  </si>
  <si>
    <t xml:space="preserve">Engine drivers</t>
  </si>
  <si>
    <t xml:space="preserve">Engine units</t>
  </si>
  <si>
    <t xml:space="preserve">Engine sales per unit ($000)</t>
  </si>
  <si>
    <t xml:space="preserve">Segment sales</t>
  </si>
  <si>
    <t xml:space="preserve">Total segment sales</t>
  </si>
  <si>
    <t xml:space="preserve">Intersegment eliminations</t>
  </si>
  <si>
    <t xml:space="preserve">Segment EBITDA</t>
  </si>
  <si>
    <t xml:space="preserve">Eliminations and corporate</t>
  </si>
  <si>
    <t xml:space="preserve">Total EBITDA (reported basis)</t>
  </si>
  <si>
    <t xml:space="preserve">EBITDA margin</t>
  </si>
  <si>
    <t xml:space="preserve">Special items added back</t>
  </si>
  <si>
    <t xml:space="preserve">EBITDA excluding special items</t>
  </si>
  <si>
    <t xml:space="preserve">Adjusted EBITDA margin</t>
  </si>
  <si>
    <t xml:space="preserve">FY2026 check against management guidance</t>
  </si>
  <si>
    <t xml:space="preserve">FY2026 revenue growth (budget)</t>
  </si>
  <si>
    <t xml:space="preserve">Guidance range</t>
  </si>
  <si>
    <t xml:space="preserve">Revenue within guidance?</t>
  </si>
  <si>
    <t xml:space="preserve">FY2026 adjusted EBITDA margin (budget)</t>
  </si>
  <si>
    <t xml:space="preserve">EBITDA margin within guidance?</t>
  </si>
  <si>
    <t xml:space="preserve">H2 2026 implied net sales growth (YoY)</t>
  </si>
  <si>
    <t xml:space="preserve">Adjusted EPS bridge (excludes special items)</t>
  </si>
  <si>
    <t xml:space="preserve">Q2 2026A tie-out</t>
  </si>
  <si>
    <t xml:space="preserve">Depreciation and amortization</t>
  </si>
  <si>
    <t xml:space="preserve">Q2 2026 actuals from the Q2 2026 release: D&amp;A $280M, interest $80M, tax $325M, NCI $36M, diluted EPS $6.73.</t>
  </si>
  <si>
    <t xml:space="preserve">Interest expense</t>
  </si>
  <si>
    <t xml:space="preserve">Pretax income</t>
  </si>
  <si>
    <t xml:space="preserve">Income tax</t>
  </si>
  <si>
    <t xml:space="preserve">Noncontrolling interests</t>
  </si>
  <si>
    <t xml:space="preserve">Net income to Cummins</t>
  </si>
  <si>
    <t xml:space="preserve">EPS (diluted, $)</t>
  </si>
  <si>
    <t xml:space="preserve">Reported EPS (check)</t>
  </si>
  <si>
    <t xml:space="preserve">Check: bridge less reported Q2 EPS (should be ~0)</t>
  </si>
  <si>
    <t xml:space="preserve">Check 1: does each segment land inside Cummins' own FY2026 guidance (Aug 4, 2026)?</t>
  </si>
  <si>
    <t xml:space="preserve">FY growth</t>
  </si>
  <si>
    <t xml:space="preserve">Guide low</t>
  </si>
  <si>
    <t xml:space="preserve">Guide high</t>
  </si>
  <si>
    <t xml:space="preserve">Inside?</t>
  </si>
  <si>
    <t xml:space="preserve">FY margin</t>
  </si>
  <si>
    <t xml:space="preserve">Accelera revenue ($mm) / adjusted loss ($mm)</t>
  </si>
  <si>
    <t xml:space="preserve">Check 2: seasonality - is each quarter's change from the prior quarter in line with 2024-2025?</t>
  </si>
  <si>
    <t xml:space="preserve">Q3/Q2 budget</t>
  </si>
  <si>
    <t xml:space="preserve">2024</t>
  </si>
  <si>
    <t xml:space="preserve">2025</t>
  </si>
  <si>
    <t xml:space="preserve">In range?</t>
  </si>
  <si>
    <t xml:space="preserve">Q4/Q3 budget</t>
  </si>
  <si>
    <t xml:space="preserve">Reading it: 'Outside' is a prompt to justify, not an error. 2024-25 were truck-downturn years; 2026 is a recovery with H2 truck production 'largely set' (Aug 4 call), so a smaller Q3 dip and a Q4 rise are defensible. Tolerance +/-2 points.</t>
  </si>
  <si>
    <t xml:space="preserve">Check 3: how does the budget compare with Wall Street's consensus?</t>
  </si>
  <si>
    <t xml:space="preserve">Budget</t>
  </si>
  <si>
    <t xml:space="preserve">Gap</t>
  </si>
  <si>
    <t xml:space="preserve">Street-implied Q3 margin</t>
  </si>
  <si>
    <t xml:space="preserve">Street-implied Q4 margin</t>
  </si>
  <si>
    <t xml:space="preserve">Consensus EPS is turned back into an EBITDA margin using this model's D&amp;A, interest, tax rate, NCI and share count. If the Street-implied margin is above Cummins' guided range, analysts expect more profit than the company has guided.</t>
  </si>
  <si>
    <t xml:space="preserve">Check 4: expected accuracy (from the Backtest tab)</t>
  </si>
  <si>
    <t xml:space="preserve">Q3 net sales likely range</t>
  </si>
  <si>
    <t xml:space="preserve">Single segment can miss by</t>
  </si>
  <si>
    <t xml:space="preserve">Q3 2026 budget vs actual - variance bridge ($ millions)</t>
  </si>
  <si>
    <t xml:space="preserve">Type Cummins' reported Q3 2026 figures into the yellow cells. Green = better than budget, red = worse. The bridge splits each gap into volume and margin.</t>
  </si>
  <si>
    <t xml:space="preserve">Variance $</t>
  </si>
  <si>
    <t xml:space="preserve">Variance %</t>
  </si>
  <si>
    <t xml:space="preserve">Volume effect</t>
  </si>
  <si>
    <t xml:space="preserve">Margin effect</t>
  </si>
  <si>
    <t xml:space="preserve">Budget margin</t>
  </si>
  <si>
    <t xml:space="preserve">Actual margin</t>
  </si>
  <si>
    <t xml:space="preserve">How to read</t>
  </si>
  <si>
    <t xml:space="preserve">Volume effect = sales variance x budget margin.</t>
  </si>
  <si>
    <t xml:space="preserve">Margin effect = actual sales x (actual - budget margin).</t>
  </si>
  <si>
    <t xml:space="preserve">Volume + margin effects add up to the EBITDA variance.</t>
  </si>
  <si>
    <t xml:space="preserve">Accelera and corporate: whole variance shown as margin/cost.</t>
  </si>
  <si>
    <t xml:space="preserve">Total EBITDA</t>
  </si>
  <si>
    <t xml:space="preserve">Engine price vs volume</t>
  </si>
  <si>
    <t xml:space="preserve">Unit shipments: 'Engine Segment Sales by Market and Unit Shipments' table.</t>
  </si>
  <si>
    <t xml:space="preserve">Sales per unit ($000)</t>
  </si>
  <si>
    <t xml:space="preserve">Sales variance from unit volume</t>
  </si>
  <si>
    <t xml:space="preserve">Sales variance from price/mix</t>
  </si>
  <si>
    <t xml:space="preserve">Engine sales variance (check)</t>
  </si>
  <si>
    <t xml:space="preserve">Variance commentary (write after actuals are in)</t>
  </si>
  <si>
    <t xml:space="preserve">1. Headline: net sales and EBITDA vs budget, in $ and %. Was the miss or beat driven by volume or margin?</t>
  </si>
  <si>
    <t xml:space="preserve">2. Biggest segment variance: which segment, why (end markets, pricing, costs), and is it one-off or recurring?</t>
  </si>
  <si>
    <t xml:space="preserve">3. Engine: how much of the sales variance was unit volume vs price/mix? What does that say about truck pre-buy timing?</t>
  </si>
  <si>
    <t xml:space="preserve">4. Power Systems and Distribution: did data center demand track budget? Any capacity constraints?</t>
  </si>
  <si>
    <t xml:space="preserve">5. Forecast implication: what would you change in Q4 2026 drivers, and does FY2026 still land inside guidance?</t>
  </si>
  <si>
    <t xml:space="preserve">Backtest: how accurate is this forecasting method on quarters we already know?</t>
  </si>
  <si>
    <t xml:space="preserve">Method: take last year's same quarter and grow it at the latest quarter's year-over-year rate. Then compare with what Cummins actually reported.</t>
  </si>
  <si>
    <t xml:space="preserve">Same quarter last year</t>
  </si>
  <si>
    <t xml:space="preserve">Latest YoY trend</t>
  </si>
  <si>
    <t xml:space="preserve">Forecast</t>
  </si>
  <si>
    <t xml:space="preserve">Error</t>
  </si>
  <si>
    <t xml:space="preserve">Size of miss</t>
  </si>
  <si>
    <t xml:space="preserve">Four segments combined</t>
  </si>
  <si>
    <t xml:space="preserve">What the tests tell us</t>
  </si>
  <si>
    <t xml:space="preserve">These become the error bands on the Forecast tab (Check 4) and the size of the Bear/Bull scenarios on the Dashboard.</t>
  </si>
  <si>
    <t xml:space="preserve">Largest single-segment miss</t>
  </si>
  <si>
    <t xml:space="preserve">Largest miss on the four-segment total</t>
  </si>
  <si>
    <t xml:space="preserve">Test 2: forecast Q4 2025 as if it were November 2025</t>
  </si>
  <si>
    <t xml:space="preserve">Lesson: simple trend-carrying overshoots when trucks turn down (Q3 2025) and undershoots when they recover (Q4 2025). That is why the v1.1 drivers are anchored to Cummins' own segment guidance instead of trend alone.</t>
  </si>
  <si>
    <t xml:space="preserve">Change Log: v1.0 (Oct 7, 2026) to v1.1 (Oct 8, 2026), both locked before Q3 results</t>
  </si>
  <si>
    <t xml:space="preserve">v1.1 came from a structured review: five independent critiques, peer review, and backtests against public data. The Variance tab scores v1.1.</t>
  </si>
  <si>
    <t xml:space="preserve">v1.0 Q3</t>
  </si>
  <si>
    <t xml:space="preserve">v1.0 Q4</t>
  </si>
  <si>
    <t xml:space="preserve">v1.1 Q3</t>
  </si>
  <si>
    <t xml:space="preserve">v1.1 Q4</t>
  </si>
  <si>
    <t xml:space="preserve">Why it changed</t>
  </si>
  <si>
    <t xml:space="preserve">Re-sized so FY Engine sales sit inside Cummins' +9% to +14% guide; Q3 keeps a seasonal dip below Q2.</t>
  </si>
  <si>
    <t xml:space="preserve">v1.0 put FY Engine margin at 12.3%, below the 12.5%-13.25% guide.</t>
  </si>
  <si>
    <t xml:space="preserve">Q3 lowered for seasonality, Q4 raised for the truck recovery; FY inside the +8% to +13% guide.</t>
  </si>
  <si>
    <t xml:space="preserve">v1.0 sat at the bottom of the guide; now the guide midpoint.</t>
  </si>
  <si>
    <t xml:space="preserve">H1 was +8.3%; Q4 raised so FY sits nearer the +9% to +14% guide midpoint.</t>
  </si>
  <si>
    <t xml:space="preserve">v1.0 cited the old Q1 guide (13.7%-14.7%); the current guide is 13.5%-14.25%.</t>
  </si>
  <si>
    <t xml:space="preserve">Q4 2025 base is tougher; FY still near the top of the +14% to +19% guide.</t>
  </si>
  <si>
    <t xml:space="preserve">v1.0 put FY at 26.1%, above the 25.0%-25.75% guide.</t>
  </si>
  <si>
    <t xml:space="preserve">v1.0 implied $523M vs the $350M-$400M guide (electrolyzer exit, fuel cell sale).</t>
  </si>
  <si>
    <t xml:space="preserve">Loss now inside the $260M-$290M guide.</t>
  </si>
  <si>
    <t xml:space="preserve">Now the four-quarter average instead of a rounded 19%.</t>
  </si>
  <si>
    <t xml:space="preserve">Now sourced: Q2 -$48M plus about $25M per quarter lower incentive comp.</t>
  </si>
  <si>
    <t xml:space="preserve">Result</t>
  </si>
  <si>
    <t xml:space="preserve">v1.0</t>
  </si>
  <si>
    <t xml:space="preserve">v1.1</t>
  </si>
  <si>
    <t xml:space="preserve">Change</t>
  </si>
  <si>
    <t xml:space="preserve">Q3 2026 net sales ($mm)</t>
  </si>
  <si>
    <t xml:space="preserve">Q3 2026 adjusted EBITDA margin</t>
  </si>
  <si>
    <t xml:space="preserve">FY2026 net sales ($mm)</t>
  </si>
  <si>
    <t xml:space="preserve">FY2026 adjusted EBITDA ($mm)</t>
  </si>
  <si>
    <t xml:space="preserve">FY2026 adjusted EBITDA margin</t>
  </si>
  <si>
    <t xml:space="preserve">Power Systems FY EBITDA margin</t>
  </si>
  <si>
    <t xml:space="preserve">Engine FY EBITDA margin</t>
  </si>
  <si>
    <t xml:space="preserve">Other fixes in v1.1</t>
  </si>
  <si>
    <t xml:space="preserve">- Added Check 1 (segment guidance), Check 2 (seasonality), Check 3 (Wall Street consensus) and Check 4 (accuracy band) to the Forecast tab.</t>
  </si>
  <si>
    <t xml:space="preserve">- Added an adjusted EPS bridge that ties to Q2 2026 reported EPS, so the budget can be compared with consensus EPS.</t>
  </si>
  <si>
    <t xml:space="preserve">- Added this Backtest tab and resized Bear/Bull scenarios to the method's real historical misses (symmetric, not hand-picked).</t>
  </si>
  <si>
    <t xml:space="preserve">- Rewrote every driver rationale to cite a dated source. Company totals are now outputs, not targets.</t>
  </si>
  <si>
    <t xml:space="preserve">Historical segment results ($ millions)</t>
  </si>
  <si>
    <t xml:space="preserve">What Cummins actually reported, copied from its official SEC earnings releases. Check rows must show zero.</t>
  </si>
  <si>
    <t xml:space="preserve">Q1 2025</t>
  </si>
  <si>
    <t xml:space="preserve">Q2 2025</t>
  </si>
  <si>
    <t xml:space="preserve">Q3 2025</t>
  </si>
  <si>
    <t xml:space="preserve">Q4 2025</t>
  </si>
  <si>
    <t xml:space="preserve">FY2025</t>
  </si>
  <si>
    <t xml:space="preserve">Q1 2026</t>
  </si>
  <si>
    <t xml:space="preserve">Q2 2026</t>
  </si>
  <si>
    <t xml:space="preserve">Source / note</t>
  </si>
  <si>
    <t xml:space="preserve">Q2'26 and 6M tables: Cummins Q2 2026 earnings release (8-K Ex.99, Aug 4 2026), segment tables: https://www.sec.gov/Archives/edgar/data/0000026172/000002617226000026/cmi2026q28-kex99.htm</t>
  </si>
  <si>
    <t xml:space="preserve">Q3'25 table: Cummins Q3 2025 earnings release (8-K Ex.99, Nov 6 2025), segment table: https://www.sec.gov/Archives/edgar/data/26172/000002617225000036/cmi2025q38-kex99.htm</t>
  </si>
  <si>
    <t xml:space="preserve">Q4'25 and FY25 tables: Cummins Q4/FY2025 earnings release (8-K Ex.99, Feb 5 2026), segment tables: https://www.sec.gov/Archives/edgar/data/26172/000002617226000004/cmi2025q48-kex99.htm</t>
  </si>
  <si>
    <t xml:space="preserve">Reported net sales</t>
  </si>
  <si>
    <t xml:space="preserve">Check: model less reported (should be 0)</t>
  </si>
  <si>
    <t xml:space="preserve">Segment EBITDA (reported, includes special items)</t>
  </si>
  <si>
    <t xml:space="preserve">EBITDA margin (% of net sales)</t>
  </si>
  <si>
    <t xml:space="preserve">Reported EBITDA</t>
  </si>
  <si>
    <t xml:space="preserve">Special items in Accelera (charges added back)</t>
  </si>
  <si>
    <t xml:space="preserve">Q3'25: $240 goodwill impairment + inventory write-down; Q4'25: $218 electrolyzer review; Q1'26: $199 fuel cell business sale.</t>
  </si>
  <si>
    <t xml:space="preserve">Segment EBITDA margin (% of segment sales)</t>
  </si>
  <si>
    <t xml:space="preserve">Accelera: margin not meaningful (loss-making)</t>
  </si>
  <si>
    <t xml:space="preserve">Engine segment unit drivers</t>
  </si>
  <si>
    <t xml:space="preserve">Engine unit shipments (units)</t>
  </si>
  <si>
    <t xml:space="preserve">Unit shipments exclude aftermarket parts; sales per unit therefore includes parts and price/mix.</t>
  </si>
  <si>
    <t xml:space="preserve">2024 segment sales (used for the seasonality check and the backtest)</t>
  </si>
  <si>
    <t xml:space="preserve">Q1 2024</t>
  </si>
  <si>
    <t xml:space="preserve">Q2 2024</t>
  </si>
  <si>
    <t xml:space="preserve">Q3 2024</t>
  </si>
  <si>
    <t xml:space="preserve">Q4 2024</t>
  </si>
  <si>
    <t xml:space="preserve">Quarterly segment tables in the Q4/FY2025 release: Cummins Q4/FY2025 earnings release (8-K Ex.99, Feb 5 2026), segment tables: https://www.sec.gov/Archives/edgar/data/26172/000002617226000004/cmi2025q48-kex99.htm</t>
  </si>
  <si>
    <t xml:space="preserve">Components Q1 2024 excludes $353M of Atmus sales (divested March 2024) for comparability.</t>
  </si>
  <si>
    <t xml:space="preserve">Scenario Calc: the maths behind the scenario explorer ($ millions)</t>
  </si>
  <si>
    <t xml:space="preserve">Second-half 2026 sales = second-half 2025 sales x (1 + budget growth + scenario change). Profit = sales x (budget margin + change).</t>
  </si>
  <si>
    <t xml:space="preserve">H2 2025 sales</t>
  </si>
  <si>
    <t xml:space="preserve">H2 2026 budget</t>
  </si>
  <si>
    <t xml:space="preserve">Budget growth</t>
  </si>
  <si>
    <t xml:space="preserve">Budget H2 EBITDA</t>
  </si>
  <si>
    <t xml:space="preserve">Demand link</t>
  </si>
  <si>
    <t xml:space="preserve">Truck</t>
  </si>
  <si>
    <t xml:space="preserve">Data center</t>
  </si>
  <si>
    <t xml:space="preserve">Accelera H2 2026 budget (sales / EBITDA)</t>
  </si>
  <si>
    <t xml:space="preserve">Eliminations and corporate H2 2026 EBITDA</t>
  </si>
  <si>
    <t xml:space="preserve">Elimination ratio (% of total segment sales)</t>
  </si>
  <si>
    <t xml:space="preserve">H1 2026 actual net sales</t>
  </si>
  <si>
    <t xml:space="preserve">H1 2026 actual adjusted EBITDA</t>
  </si>
  <si>
    <t xml:space="preserve">FY2025 net sales</t>
  </si>
  <si>
    <t xml:space="preserve">Scenario</t>
  </si>
  <si>
    <t xml:space="preserve">Truck demand change</t>
  </si>
  <si>
    <t xml:space="preserve">Data center demand change</t>
  </si>
  <si>
    <t xml:space="preserve">Margin change</t>
  </si>
  <si>
    <t xml:space="preserve">H2 sales: Engine</t>
  </si>
  <si>
    <t xml:space="preserve">H2 sales: Components</t>
  </si>
  <si>
    <t xml:space="preserve">H2 sales: Distribution</t>
  </si>
  <si>
    <t xml:space="preserve">H2 sales: Power Systems</t>
  </si>
  <si>
    <t xml:space="preserve">H2 sales: Accelera</t>
  </si>
  <si>
    <t xml:space="preserve">H2 total segment sales</t>
  </si>
  <si>
    <t xml:space="preserve">H2 eliminations</t>
  </si>
  <si>
    <t xml:space="preserve">H2 net sales</t>
  </si>
  <si>
    <t xml:space="preserve">FY2026 net sales</t>
  </si>
  <si>
    <t xml:space="preserve">FY2026 sales growth</t>
  </si>
  <si>
    <t xml:space="preserve">H2 EBITDA: Engine</t>
  </si>
  <si>
    <t xml:space="preserve">H2 EBITDA: Components</t>
  </si>
  <si>
    <t xml:space="preserve">H2 EBITDA: Distribution</t>
  </si>
  <si>
    <t xml:space="preserve">H2 EBITDA: Power Systems</t>
  </si>
  <si>
    <t xml:space="preserve">H2 EBITDA: Accelera, eliminations and corporate</t>
  </si>
  <si>
    <t xml:space="preserve">H2 adjusted EBITDA</t>
  </si>
  <si>
    <t xml:space="preserve">FY2026 adjusted EBITDA</t>
  </si>
  <si>
    <t xml:space="preserve">Check: Base sales less Forecast (should be 0)</t>
  </si>
  <si>
    <t xml:space="preserve">Check: Base EBITDA less Forecast (should be 0)</t>
  </si>
  <si>
    <t xml:space="preserve">Quarter</t>
  </si>
  <si>
    <t xml:space="preserve">Actual sales ($B)</t>
  </si>
  <si>
    <t xml:space="preserve">Forecast sales ($B)</t>
  </si>
  <si>
    <t xml:space="preserve">Forecast margin</t>
  </si>
  <si>
    <t xml:space="preserve">Q1 '25</t>
  </si>
  <si>
    <t xml:space="preserve">Q2 '25</t>
  </si>
  <si>
    <t xml:space="preserve">Q3 '25</t>
  </si>
  <si>
    <t xml:space="preserve">Q4 '25</t>
  </si>
  <si>
    <t xml:space="preserve">Q1 '26</t>
  </si>
  <si>
    <t xml:space="preserve">Q2 '26</t>
  </si>
  <si>
    <t xml:space="preserve">Q3 '26</t>
  </si>
  <si>
    <t xml:space="preserve">Q4 '26</t>
  </si>
  <si>
    <t xml:space="preserve">2026 sales growth</t>
  </si>
  <si>
    <t xml:space="preserve">FY2026 adjusted EBITDA ($B)</t>
  </si>
</sst>
</file>

<file path=xl/styles.xml><?xml version="1.0" encoding="utf-8"?>
<styleSheet xmlns="http://schemas.openxmlformats.org/spreadsheetml/2006/main">
  <numFmts count="19">
    <numFmt numFmtId="164" formatCode="General"/>
    <numFmt numFmtId="165" formatCode="\$#,##0.0,\B"/>
    <numFmt numFmtId="166" formatCode="\$#,##0.00,\B"/>
    <numFmt numFmtId="167" formatCode="0.0%"/>
    <numFmt numFmtId="168" formatCode="@"/>
    <numFmt numFmtId="169" formatCode="\+0.0%;\-0.0%;0.0%"/>
    <numFmt numFmtId="170" formatCode="\+0.0%;\-0.0%"/>
    <numFmt numFmtId="171" formatCode="0%"/>
    <numFmt numFmtId="172" formatCode="0.0"/>
    <numFmt numFmtId="173" formatCode="0"/>
    <numFmt numFmtId="174" formatCode="\$0.00\B"/>
    <numFmt numFmtId="175" formatCode="0.0%;\(0.0%\);\-"/>
    <numFmt numFmtId="176" formatCode="\$#,##0;&quot;($&quot;#,##0\);\-"/>
    <numFmt numFmtId="177" formatCode="#,##0.0"/>
    <numFmt numFmtId="178" formatCode="\$0.00"/>
    <numFmt numFmtId="179" formatCode="#,##0;\(#,##0\);\-"/>
    <numFmt numFmtId="180" formatCode="\$#,##0.0;&quot;($&quot;#,##0.0\);\-"/>
    <numFmt numFmtId="181" formatCode="0.00"/>
    <numFmt numFmtId="182" formatCode="&quot;+/- &quot;0.0%"/>
  </numFmts>
  <fonts count="47">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18"/>
      <color rgb="FFFFFFFF"/>
      <name val="Arial"/>
      <family val="0"/>
      <charset val="1"/>
    </font>
    <font>
      <sz val="10"/>
      <color rgb="FFFFFFFF"/>
      <name val="Arial"/>
      <family val="0"/>
      <charset val="1"/>
    </font>
    <font>
      <b val="true"/>
      <sz val="12"/>
      <color rgb="FF1F3864"/>
      <name val="Arial"/>
      <family val="0"/>
      <charset val="1"/>
    </font>
    <font>
      <sz val="10"/>
      <color rgb="FF000000"/>
      <name val="Arial"/>
      <family val="0"/>
      <charset val="1"/>
    </font>
    <font>
      <b val="true"/>
      <sz val="10"/>
      <name val="Arial"/>
      <family val="0"/>
      <charset val="1"/>
    </font>
    <font>
      <u val="single"/>
      <sz val="10"/>
      <color rgb="FF0563C1"/>
      <name val="Arial"/>
      <family val="0"/>
      <charset val="1"/>
    </font>
    <font>
      <b val="true"/>
      <sz val="10"/>
      <color rgb="FFFFFFFF"/>
      <name val="Arial"/>
      <family val="0"/>
      <charset val="1"/>
    </font>
    <font>
      <i val="true"/>
      <sz val="9"/>
      <color rgb="FF595959"/>
      <name val="Arial"/>
      <family val="0"/>
      <charset val="1"/>
    </font>
    <font>
      <sz val="10"/>
      <color rgb="FF0000FF"/>
      <name val="Arial"/>
      <family val="0"/>
      <charset val="1"/>
    </font>
    <font>
      <sz val="10"/>
      <color rgb="FF008000"/>
      <name val="Arial"/>
      <family val="0"/>
      <charset val="1"/>
    </font>
    <font>
      <b val="true"/>
      <sz val="10"/>
      <color rgb="FF006100"/>
      <name val="Arial"/>
      <family val="0"/>
      <charset val="1"/>
    </font>
    <font>
      <b val="true"/>
      <sz val="10"/>
      <color rgb="FF9C0006"/>
      <name val="Arial"/>
      <family val="0"/>
      <charset val="1"/>
    </font>
    <font>
      <b val="true"/>
      <sz val="20"/>
      <color rgb="FFFFFFFF"/>
      <name val="Arial"/>
      <family val="0"/>
      <charset val="1"/>
    </font>
    <font>
      <b val="true"/>
      <sz val="9"/>
      <color rgb="FF595959"/>
      <name val="Arial"/>
      <family val="0"/>
      <charset val="1"/>
    </font>
    <font>
      <b val="true"/>
      <sz val="9"/>
      <color rgb="FF2F5597"/>
      <name val="Arial"/>
      <family val="0"/>
      <charset val="1"/>
    </font>
    <font>
      <b val="true"/>
      <sz val="9"/>
      <color rgb="FF4E9A2E"/>
      <name val="Arial"/>
      <family val="0"/>
      <charset val="1"/>
    </font>
    <font>
      <b val="true"/>
      <sz val="9"/>
      <color rgb="FFE69A00"/>
      <name val="Arial"/>
      <family val="0"/>
      <charset val="1"/>
    </font>
    <font>
      <b val="true"/>
      <sz val="9"/>
      <color rgb="FF7E6BB8"/>
      <name val="Arial"/>
      <family val="0"/>
      <charset val="1"/>
    </font>
    <font>
      <b val="true"/>
      <sz val="22"/>
      <color rgb="FF1F3864"/>
      <name val="Arial"/>
      <family val="0"/>
      <charset val="1"/>
    </font>
    <font>
      <sz val="9"/>
      <color rgb="FF404040"/>
      <name val="Arial"/>
      <family val="0"/>
      <charset val="1"/>
    </font>
    <font>
      <b val="true"/>
      <sz val="12"/>
      <color rgb="FFFFFFFF"/>
      <name val="Arial"/>
      <family val="0"/>
      <charset val="1"/>
    </font>
    <font>
      <b val="true"/>
      <sz val="11"/>
      <color rgb="FF404040"/>
      <name val="Arial"/>
      <family val="0"/>
      <charset val="1"/>
    </font>
    <font>
      <b val="true"/>
      <sz val="16"/>
      <color rgb="FF1F3864"/>
      <name val="Arial"/>
      <family val="0"/>
      <charset val="1"/>
    </font>
    <font>
      <b val="true"/>
      <sz val="14"/>
      <color rgb="FF0000FF"/>
      <name val="Arial"/>
      <family val="0"/>
      <charset val="1"/>
    </font>
    <font>
      <i val="true"/>
      <sz val="10"/>
      <color rgb="FF404040"/>
      <name val="Arial"/>
      <family val="0"/>
      <charset val="1"/>
    </font>
    <font>
      <b val="true"/>
      <sz val="10"/>
      <color rgb="FF1F3864"/>
      <name val="Arial"/>
      <family val="0"/>
      <charset val="1"/>
    </font>
    <font>
      <b val="true"/>
      <sz val="10"/>
      <color rgb="FF595959"/>
      <name val="Arial"/>
      <family val="0"/>
      <charset val="1"/>
    </font>
    <font>
      <b val="true"/>
      <sz val="10"/>
      <color rgb="FF008000"/>
      <name val="Arial"/>
      <family val="0"/>
      <charset val="1"/>
    </font>
    <font>
      <sz val="10"/>
      <name val="Arial"/>
      <family val="0"/>
      <charset val="1"/>
    </font>
    <font>
      <b val="true"/>
      <sz val="18"/>
      <color rgb="FF000000"/>
      <name val="Calibri"/>
      <family val="2"/>
    </font>
    <font>
      <sz val="10"/>
      <color rgb="FF000000"/>
      <name val="Calibri"/>
      <family val="2"/>
    </font>
    <font>
      <b val="true"/>
      <sz val="14"/>
      <name val="Arial"/>
      <family val="0"/>
      <charset val="1"/>
    </font>
    <font>
      <i val="true"/>
      <sz val="9"/>
      <color rgb="FFC00000"/>
      <name val="Arial"/>
      <family val="0"/>
      <charset val="1"/>
    </font>
    <font>
      <b val="true"/>
      <sz val="10"/>
      <color rgb="FF2F5597"/>
      <name val="Arial"/>
      <family val="0"/>
      <charset val="1"/>
    </font>
    <font>
      <b val="true"/>
      <sz val="10"/>
      <color rgb="FF00A0B0"/>
      <name val="Arial"/>
      <family val="0"/>
      <charset val="1"/>
    </font>
    <font>
      <b val="true"/>
      <sz val="10"/>
      <color rgb="FFE69A00"/>
      <name val="Arial"/>
      <family val="0"/>
      <charset val="1"/>
    </font>
    <font>
      <b val="true"/>
      <sz val="10"/>
      <color rgb="FF4E9A2E"/>
      <name val="Arial"/>
      <family val="0"/>
      <charset val="1"/>
    </font>
    <font>
      <b val="true"/>
      <sz val="10"/>
      <color rgb="FF7E6BB8"/>
      <name val="Arial"/>
      <family val="0"/>
      <charset val="1"/>
    </font>
    <font>
      <b val="true"/>
      <sz val="11"/>
      <name val="Arial"/>
      <family val="0"/>
      <charset val="1"/>
    </font>
    <font>
      <b val="true"/>
      <sz val="13"/>
      <color rgb="FFFFFFFF"/>
      <name val="Arial"/>
      <family val="0"/>
      <charset val="1"/>
    </font>
    <font>
      <b val="true"/>
      <sz val="14"/>
      <color rgb="FFFFFFFF"/>
      <name val="Arial"/>
      <family val="0"/>
      <charset val="1"/>
    </font>
    <font>
      <sz val="9"/>
      <color rgb="FFFFFFFF"/>
      <name val="Arial"/>
      <family val="0"/>
      <charset val="1"/>
    </font>
  </fonts>
  <fills count="21">
    <fill>
      <patternFill patternType="none"/>
    </fill>
    <fill>
      <patternFill patternType="gray125"/>
    </fill>
    <fill>
      <patternFill patternType="solid">
        <fgColor rgb="FF1F3864"/>
        <bgColor rgb="FF404040"/>
      </patternFill>
    </fill>
    <fill>
      <patternFill patternType="solid">
        <fgColor rgb="FF2F5597"/>
        <bgColor rgb="FF0563C1"/>
      </patternFill>
    </fill>
    <fill>
      <patternFill patternType="solid">
        <fgColor rgb="FFD9E1F2"/>
        <bgColor rgb="FFDCE6F5"/>
      </patternFill>
    </fill>
    <fill>
      <patternFill patternType="solid">
        <fgColor rgb="FFF2F2F2"/>
        <bgColor rgb="FFEDEDED"/>
      </patternFill>
    </fill>
    <fill>
      <patternFill patternType="solid">
        <fgColor rgb="FFFFF2CC"/>
        <bgColor rgb="FFFDEFCB"/>
      </patternFill>
    </fill>
    <fill>
      <patternFill patternType="solid">
        <fgColor rgb="FFC6EFCE"/>
        <bgColor rgb="FFD3F1F3"/>
      </patternFill>
    </fill>
    <fill>
      <patternFill patternType="solid">
        <fgColor rgb="FFFFC7CE"/>
        <bgColor rgb="FFD9D9D9"/>
      </patternFill>
    </fill>
    <fill>
      <patternFill patternType="solid">
        <fgColor rgb="FF00A0B0"/>
        <bgColor rgb="FF008080"/>
      </patternFill>
    </fill>
    <fill>
      <patternFill patternType="solid">
        <fgColor rgb="FFE69A00"/>
        <bgColor rgb="FFF1C232"/>
      </patternFill>
    </fill>
    <fill>
      <patternFill patternType="solid">
        <fgColor rgb="FF4E9A2E"/>
        <bgColor rgb="FF6AA84F"/>
      </patternFill>
    </fill>
    <fill>
      <patternFill patternType="solid">
        <fgColor rgb="FF7E6BB8"/>
        <bgColor rgb="FF7F7F7F"/>
      </patternFill>
    </fill>
    <fill>
      <patternFill patternType="solid">
        <fgColor rgb="FFDCE6F5"/>
        <bgColor rgb="FFD9E1F2"/>
      </patternFill>
    </fill>
    <fill>
      <patternFill patternType="solid">
        <fgColor rgb="FFE2F0D9"/>
        <bgColor rgb="FFE7E6E6"/>
      </patternFill>
    </fill>
    <fill>
      <patternFill patternType="solid">
        <fgColor rgb="FFFDEFCB"/>
        <bgColor rgb="FFFFF2CC"/>
      </patternFill>
    </fill>
    <fill>
      <patternFill patternType="solid">
        <fgColor rgb="FFECE8F6"/>
        <bgColor rgb="FFEDEDED"/>
      </patternFill>
    </fill>
    <fill>
      <patternFill patternType="solid">
        <fgColor rgb="FFC00000"/>
        <bgColor rgb="FF9C0006"/>
      </patternFill>
    </fill>
    <fill>
      <patternFill patternType="solid">
        <fgColor rgb="FF595959"/>
        <bgColor rgb="FF404040"/>
      </patternFill>
    </fill>
    <fill>
      <patternFill patternType="solid">
        <fgColor rgb="FFEDEDED"/>
        <bgColor rgb="FFECE8F6"/>
      </patternFill>
    </fill>
    <fill>
      <patternFill patternType="solid">
        <fgColor rgb="FFD3F1F3"/>
        <bgColor rgb="FFDCE6F5"/>
      </patternFill>
    </fill>
  </fills>
  <borders count="14">
    <border diagonalUp="false" diagonalDown="false">
      <left/>
      <right/>
      <top/>
      <bottom/>
      <diagonal/>
    </border>
    <border diagonalUp="false" diagonalDown="false">
      <left/>
      <right/>
      <top style="thick">
        <color rgb="FF2F5597"/>
      </top>
      <bottom/>
      <diagonal/>
    </border>
    <border diagonalUp="false" diagonalDown="false">
      <left/>
      <right/>
      <top style="thick">
        <color rgb="FF4E9A2E"/>
      </top>
      <bottom/>
      <diagonal/>
    </border>
    <border diagonalUp="false" diagonalDown="false">
      <left/>
      <right/>
      <top style="thick">
        <color rgb="FFE69A00"/>
      </top>
      <bottom/>
      <diagonal/>
    </border>
    <border diagonalUp="false" diagonalDown="false">
      <left/>
      <right/>
      <top style="thick">
        <color rgb="FF7E6BB8"/>
      </top>
      <bottom/>
      <diagonal/>
    </border>
    <border diagonalUp="false" diagonalDown="false">
      <left/>
      <right/>
      <top/>
      <bottom style="thin">
        <color rgb="FFBFBFBF"/>
      </bottom>
      <diagonal/>
    </border>
    <border diagonalUp="false" diagonalDown="false">
      <left style="medium">
        <color rgb="FFE69A00"/>
      </left>
      <right style="medium">
        <color rgb="FFE69A00"/>
      </right>
      <top style="medium">
        <color rgb="FFE69A00"/>
      </top>
      <bottom style="medium">
        <color rgb="FFE69A00"/>
      </bottom>
      <diagonal/>
    </border>
    <border diagonalUp="false" diagonalDown="false">
      <left/>
      <right/>
      <top/>
      <bottom style="medium">
        <color rgb="FF1F3864"/>
      </bottom>
      <diagonal/>
    </border>
    <border diagonalUp="false" diagonalDown="false">
      <left style="thick">
        <color rgb="FF2F5597"/>
      </left>
      <right/>
      <top/>
      <bottom/>
      <diagonal/>
    </border>
    <border diagonalUp="false" diagonalDown="false">
      <left style="thick">
        <color rgb="FF00A0B0"/>
      </left>
      <right/>
      <top/>
      <bottom/>
      <diagonal/>
    </border>
    <border diagonalUp="false" diagonalDown="false">
      <left style="thick">
        <color rgb="FFE69A00"/>
      </left>
      <right/>
      <top/>
      <bottom/>
      <diagonal/>
    </border>
    <border diagonalUp="false" diagonalDown="false">
      <left style="thick">
        <color rgb="FF4E9A2E"/>
      </left>
      <right/>
      <top/>
      <bottom/>
      <diagonal/>
    </border>
    <border diagonalUp="false" diagonalDown="false">
      <left style="thick">
        <color rgb="FF7E6BB8"/>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3" fillId="6" borderId="0" xfId="0" applyFont="true" applyBorder="false" applyAlignment="true" applyProtection="false">
      <alignment horizontal="center" vertical="bottom" textRotation="0" wrapText="false" indent="0" shrinkToFit="false"/>
      <protection locked="true" hidden="false"/>
    </xf>
    <xf numFmtId="164" fontId="15" fillId="7" borderId="0" xfId="0" applyFont="true" applyBorder="false" applyAlignment="true" applyProtection="false">
      <alignment horizontal="center" vertical="bottom" textRotation="0" wrapText="false" indent="0" shrinkToFit="false"/>
      <protection locked="true" hidden="false"/>
    </xf>
    <xf numFmtId="164" fontId="16" fillId="8" borderId="0" xfId="0" applyFont="true" applyBorder="fals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true" applyProtection="false">
      <alignment horizontal="center" vertical="bottom" textRotation="0" wrapText="false" indent="0" shrinkToFit="false"/>
      <protection locked="true" hidden="false"/>
    </xf>
    <xf numFmtId="164" fontId="11" fillId="10" borderId="0" xfId="0" applyFont="true" applyBorder="false" applyAlignment="true" applyProtection="false">
      <alignment horizontal="center" vertical="bottom" textRotation="0" wrapText="false" indent="0" shrinkToFit="false"/>
      <protection locked="true" hidden="false"/>
    </xf>
    <xf numFmtId="164" fontId="11" fillId="11" borderId="0" xfId="0" applyFont="true" applyBorder="false" applyAlignment="true" applyProtection="false">
      <alignment horizontal="center" vertical="bottom" textRotation="0" wrapText="false" indent="0" shrinkToFit="false"/>
      <protection locked="true" hidden="false"/>
    </xf>
    <xf numFmtId="164" fontId="11" fillId="12"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7" fillId="2" borderId="0" xfId="0" applyFont="true" applyBorder="true" applyAlignment="true" applyProtection="false">
      <alignment horizontal="general"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13" borderId="1" xfId="0" applyFont="true" applyBorder="true" applyAlignment="true" applyProtection="false">
      <alignment horizontal="center" vertical="center" textRotation="0" wrapText="true" indent="0" shrinkToFit="false"/>
      <protection locked="true" hidden="false"/>
    </xf>
    <xf numFmtId="164" fontId="20" fillId="14" borderId="2" xfId="0" applyFont="true" applyBorder="true" applyAlignment="true" applyProtection="false">
      <alignment horizontal="center" vertical="center" textRotation="0" wrapText="true" indent="0" shrinkToFit="false"/>
      <protection locked="true" hidden="false"/>
    </xf>
    <xf numFmtId="164" fontId="21" fillId="15" borderId="3" xfId="0" applyFont="true" applyBorder="true" applyAlignment="true" applyProtection="false">
      <alignment horizontal="center" vertical="center" textRotation="0" wrapText="true" indent="0" shrinkToFit="false"/>
      <protection locked="true" hidden="false"/>
    </xf>
    <xf numFmtId="164" fontId="22" fillId="16" borderId="4" xfId="0" applyFont="true" applyBorder="true" applyAlignment="true" applyProtection="false">
      <alignment horizontal="center" vertical="center" textRotation="0" wrapText="true" indent="0" shrinkToFit="false"/>
      <protection locked="true" hidden="false"/>
    </xf>
    <xf numFmtId="165" fontId="23" fillId="13" borderId="0" xfId="0" applyFont="true" applyBorder="true" applyAlignment="true" applyProtection="false">
      <alignment horizontal="center" vertical="center" textRotation="0" wrapText="true" indent="0" shrinkToFit="false"/>
      <protection locked="true" hidden="false"/>
    </xf>
    <xf numFmtId="166" fontId="23" fillId="14" borderId="0" xfId="0" applyFont="true" applyBorder="true" applyAlignment="true" applyProtection="false">
      <alignment horizontal="center" vertical="center" textRotation="0" wrapText="true" indent="0" shrinkToFit="false"/>
      <protection locked="true" hidden="false"/>
    </xf>
    <xf numFmtId="167" fontId="23" fillId="15" borderId="0" xfId="0" applyFont="true" applyBorder="true" applyAlignment="true" applyProtection="false">
      <alignment horizontal="center" vertical="center" textRotation="0" wrapText="true" indent="0" shrinkToFit="false"/>
      <protection locked="true" hidden="false"/>
    </xf>
    <xf numFmtId="168" fontId="23" fillId="16" borderId="0" xfId="0" applyFont="true" applyBorder="true" applyAlignment="true" applyProtection="false">
      <alignment horizontal="center" vertical="center" textRotation="0" wrapText="true" indent="0" shrinkToFit="false"/>
      <protection locked="true" hidden="false"/>
    </xf>
    <xf numFmtId="164" fontId="24" fillId="13" borderId="5" xfId="0" applyFont="true" applyBorder="true" applyAlignment="true" applyProtection="false">
      <alignment horizontal="center" vertical="center" textRotation="0" wrapText="true" indent="0" shrinkToFit="false"/>
      <protection locked="true" hidden="false"/>
    </xf>
    <xf numFmtId="164" fontId="24" fillId="14" borderId="5" xfId="0" applyFont="true" applyBorder="true" applyAlignment="true" applyProtection="false">
      <alignment horizontal="center" vertical="center" textRotation="0" wrapText="true" indent="0" shrinkToFit="false"/>
      <protection locked="true" hidden="false"/>
    </xf>
    <xf numFmtId="164" fontId="24" fillId="15" borderId="5" xfId="0" applyFont="true" applyBorder="true" applyAlignment="true" applyProtection="false">
      <alignment horizontal="center" vertical="center" textRotation="0" wrapText="true" indent="0" shrinkToFit="false"/>
      <protection locked="true" hidden="false"/>
    </xf>
    <xf numFmtId="164" fontId="24" fillId="16" borderId="5" xfId="0" applyFont="true" applyBorder="true" applyAlignment="true" applyProtection="false">
      <alignment horizontal="center" vertical="center" textRotation="0" wrapText="true" indent="0" shrinkToFit="false"/>
      <protection locked="true" hidden="false"/>
    </xf>
    <xf numFmtId="164" fontId="25" fillId="2"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true" applyAlignment="true" applyProtection="false">
      <alignment horizontal="center" vertical="center" textRotation="0" wrapText="true" indent="0" shrinkToFit="false"/>
      <protection locked="true" hidden="false"/>
    </xf>
    <xf numFmtId="166" fontId="27" fillId="0" borderId="0" xfId="0" applyFont="true" applyBorder="true" applyAlignment="true" applyProtection="false">
      <alignment horizontal="center" vertical="center" textRotation="0" wrapText="false" indent="0" shrinkToFit="false"/>
      <protection locked="true" hidden="false"/>
    </xf>
    <xf numFmtId="167" fontId="27" fillId="0" borderId="0" xfId="0" applyFont="true" applyBorder="true" applyAlignment="true" applyProtection="false">
      <alignment horizontal="center" vertical="center"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4" fillId="11"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28" fillId="6" borderId="6"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true" applyAlignment="true" applyProtection="false">
      <alignment horizontal="general" vertical="center" textRotation="0" wrapText="true" indent="0" shrinkToFit="false"/>
      <protection locked="true" hidden="false"/>
    </xf>
    <xf numFmtId="164" fontId="11" fillId="2" borderId="0" xfId="0" applyFont="true" applyBorder="true" applyAlignment="true" applyProtection="false">
      <alignment horizontal="left" vertical="bottom" textRotation="0" wrapText="false" indent="0" shrinkToFit="false"/>
      <protection locked="true" hidden="false"/>
    </xf>
    <xf numFmtId="164" fontId="11" fillId="17" borderId="0" xfId="0" applyFont="true" applyBorder="false" applyAlignment="true" applyProtection="false">
      <alignment horizontal="center" vertical="bottom" textRotation="0" wrapText="false" indent="0" shrinkToFit="false"/>
      <protection locked="true" hidden="false"/>
    </xf>
    <xf numFmtId="164" fontId="11" fillId="18"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9" fontId="13" fillId="0" borderId="0" xfId="0" applyFont="true" applyBorder="false" applyAlignment="true" applyProtection="false">
      <alignment horizontal="center" vertical="center" textRotation="0" wrapText="false" indent="0" shrinkToFit="false"/>
      <protection locked="true" hidden="false"/>
    </xf>
    <xf numFmtId="169" fontId="13" fillId="6" borderId="0" xfId="0" applyFont="true" applyBorder="false" applyAlignment="true" applyProtection="false">
      <alignment horizontal="center" vertical="center" textRotation="0" wrapText="false" indent="0" shrinkToFit="false"/>
      <protection locked="true" hidden="false"/>
    </xf>
    <xf numFmtId="169" fontId="30" fillId="13" borderId="0" xfId="0" applyFont="true" applyBorder="false" applyAlignment="true" applyProtection="false">
      <alignment horizontal="center" vertical="center" textRotation="0" wrapText="false" indent="0" shrinkToFit="false"/>
      <protection locked="true" hidden="false"/>
    </xf>
    <xf numFmtId="164" fontId="31" fillId="19"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center" vertical="bottom" textRotation="0" wrapText="false" indent="0" shrinkToFit="false"/>
      <protection locked="true" hidden="false"/>
    </xf>
    <xf numFmtId="165" fontId="32" fillId="13" borderId="0" xfId="0" applyFont="true" applyBorder="false" applyAlignment="true" applyProtection="false">
      <alignment horizontal="center" vertical="bottom" textRotation="0" wrapText="false" indent="0" shrinkToFit="false"/>
      <protection locked="true" hidden="false"/>
    </xf>
    <xf numFmtId="167" fontId="14" fillId="0" borderId="0" xfId="0" applyFont="true" applyBorder="false" applyAlignment="true" applyProtection="false">
      <alignment horizontal="center" vertical="bottom" textRotation="0" wrapText="false" indent="0" shrinkToFit="false"/>
      <protection locked="true" hidden="false"/>
    </xf>
    <xf numFmtId="167" fontId="32" fillId="13" borderId="0" xfId="0" applyFont="true" applyBorder="false" applyAlignment="true" applyProtection="false">
      <alignment horizontal="center" vertical="bottom" textRotation="0" wrapText="false" indent="0" shrinkToFit="false"/>
      <protection locked="true" hidden="false"/>
    </xf>
    <xf numFmtId="167" fontId="14" fillId="19" borderId="0" xfId="0" applyFont="true" applyBorder="false" applyAlignment="true" applyProtection="false">
      <alignment horizontal="center" vertical="bottom" textRotation="0" wrapText="false" indent="0" shrinkToFit="false"/>
      <protection locked="true" hidden="false"/>
    </xf>
    <xf numFmtId="166" fontId="14" fillId="0" borderId="0" xfId="0" applyFont="true" applyBorder="false" applyAlignment="true" applyProtection="false">
      <alignment horizontal="center" vertical="bottom" textRotation="0" wrapText="false" indent="0" shrinkToFit="false"/>
      <protection locked="true" hidden="false"/>
    </xf>
    <xf numFmtId="166" fontId="32" fillId="13"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30" fillId="0" borderId="7" xfId="0" applyFont="true" applyBorder="true" applyAlignment="true" applyProtection="false">
      <alignment horizontal="left" vertical="bottom" textRotation="0" wrapText="true" indent="0" shrinkToFit="false"/>
      <protection locked="true" hidden="false"/>
    </xf>
    <xf numFmtId="164" fontId="30" fillId="0" borderId="7" xfId="0" applyFont="true" applyBorder="true" applyAlignment="true" applyProtection="false">
      <alignment horizontal="center" vertical="bottom" textRotation="0" wrapText="true" indent="0" shrinkToFit="false"/>
      <protection locked="true" hidden="false"/>
    </xf>
    <xf numFmtId="164" fontId="11" fillId="3" borderId="0" xfId="0" applyFont="true" applyBorder="true" applyAlignment="true" applyProtection="false">
      <alignment horizontal="general" vertical="center" textRotation="0" wrapText="false" indent="0" shrinkToFit="false"/>
      <protection locked="true" hidden="false"/>
    </xf>
    <xf numFmtId="164" fontId="24" fillId="13" borderId="0" xfId="0" applyFont="true" applyBorder="true" applyAlignment="true" applyProtection="false">
      <alignment horizontal="general" vertical="center" textRotation="0" wrapText="true" indent="0" shrinkToFit="false"/>
      <protection locked="true" hidden="false"/>
    </xf>
    <xf numFmtId="165" fontId="14" fillId="13" borderId="0" xfId="0" applyFont="true" applyBorder="false" applyAlignment="true" applyProtection="false">
      <alignment horizontal="center" vertical="center" textRotation="0" wrapText="false" indent="0" shrinkToFit="false"/>
      <protection locked="true" hidden="false"/>
    </xf>
    <xf numFmtId="170" fontId="9" fillId="13" borderId="0" xfId="0" applyFont="true" applyBorder="false" applyAlignment="true" applyProtection="false">
      <alignment horizontal="center" vertical="center" textRotation="0" wrapText="false" indent="0" shrinkToFit="false"/>
      <protection locked="true" hidden="false"/>
    </xf>
    <xf numFmtId="167" fontId="33" fillId="13" borderId="0" xfId="0" applyFont="true" applyBorder="false" applyAlignment="true" applyProtection="false">
      <alignment horizontal="center" vertical="center" textRotation="0" wrapText="false" indent="0" shrinkToFit="false"/>
      <protection locked="true" hidden="false"/>
    </xf>
    <xf numFmtId="171" fontId="9" fillId="13" borderId="0" xfId="0" applyFont="true" applyBorder="true" applyAlignment="true" applyProtection="false">
      <alignment horizontal="center" vertical="center" textRotation="0" wrapText="false" indent="0" shrinkToFit="false"/>
      <protection locked="true" hidden="false"/>
    </xf>
    <xf numFmtId="164" fontId="11" fillId="9" borderId="0" xfId="0" applyFont="true" applyBorder="true" applyAlignment="true" applyProtection="false">
      <alignment horizontal="general" vertical="center" textRotation="0" wrapText="false" indent="0" shrinkToFit="false"/>
      <protection locked="true" hidden="false"/>
    </xf>
    <xf numFmtId="164" fontId="24" fillId="20" borderId="0" xfId="0" applyFont="true" applyBorder="true" applyAlignment="true" applyProtection="false">
      <alignment horizontal="general" vertical="center" textRotation="0" wrapText="true" indent="0" shrinkToFit="false"/>
      <protection locked="true" hidden="false"/>
    </xf>
    <xf numFmtId="165" fontId="14" fillId="20" borderId="0" xfId="0" applyFont="true" applyBorder="false" applyAlignment="true" applyProtection="false">
      <alignment horizontal="center" vertical="center" textRotation="0" wrapText="false" indent="0" shrinkToFit="false"/>
      <protection locked="true" hidden="false"/>
    </xf>
    <xf numFmtId="170" fontId="9" fillId="20" borderId="0" xfId="0" applyFont="true" applyBorder="false" applyAlignment="true" applyProtection="false">
      <alignment horizontal="center" vertical="center" textRotation="0" wrapText="false" indent="0" shrinkToFit="false"/>
      <protection locked="true" hidden="false"/>
    </xf>
    <xf numFmtId="167" fontId="33" fillId="20" borderId="0" xfId="0" applyFont="true" applyBorder="false" applyAlignment="true" applyProtection="false">
      <alignment horizontal="center" vertical="center" textRotation="0" wrapText="false" indent="0" shrinkToFit="false"/>
      <protection locked="true" hidden="false"/>
    </xf>
    <xf numFmtId="171" fontId="9" fillId="20" borderId="0" xfId="0" applyFont="true" applyBorder="true" applyAlignment="true" applyProtection="false">
      <alignment horizontal="center" vertical="center" textRotation="0" wrapText="false" indent="0" shrinkToFit="false"/>
      <protection locked="true" hidden="false"/>
    </xf>
    <xf numFmtId="164" fontId="11" fillId="10" borderId="0" xfId="0" applyFont="true" applyBorder="true" applyAlignment="true" applyProtection="false">
      <alignment horizontal="general" vertical="center" textRotation="0" wrapText="false" indent="0" shrinkToFit="false"/>
      <protection locked="true" hidden="false"/>
    </xf>
    <xf numFmtId="164" fontId="24" fillId="15" borderId="0" xfId="0" applyFont="true" applyBorder="true" applyAlignment="true" applyProtection="false">
      <alignment horizontal="general" vertical="center" textRotation="0" wrapText="true" indent="0" shrinkToFit="false"/>
      <protection locked="true" hidden="false"/>
    </xf>
    <xf numFmtId="165" fontId="14" fillId="15" borderId="0" xfId="0" applyFont="true" applyBorder="false" applyAlignment="true" applyProtection="false">
      <alignment horizontal="center" vertical="center" textRotation="0" wrapText="false" indent="0" shrinkToFit="false"/>
      <protection locked="true" hidden="false"/>
    </xf>
    <xf numFmtId="170" fontId="9" fillId="15" borderId="0" xfId="0" applyFont="true" applyBorder="false" applyAlignment="true" applyProtection="false">
      <alignment horizontal="center" vertical="center" textRotation="0" wrapText="false" indent="0" shrinkToFit="false"/>
      <protection locked="true" hidden="false"/>
    </xf>
    <xf numFmtId="167" fontId="33" fillId="15" borderId="0" xfId="0" applyFont="true" applyBorder="false" applyAlignment="true" applyProtection="false">
      <alignment horizontal="center" vertical="center" textRotation="0" wrapText="false" indent="0" shrinkToFit="false"/>
      <protection locked="true" hidden="false"/>
    </xf>
    <xf numFmtId="171" fontId="9" fillId="15" borderId="0" xfId="0" applyFont="true" applyBorder="true" applyAlignment="true" applyProtection="false">
      <alignment horizontal="center" vertical="center" textRotation="0" wrapText="false" indent="0" shrinkToFit="false"/>
      <protection locked="true" hidden="false"/>
    </xf>
    <xf numFmtId="164" fontId="11" fillId="11" borderId="0" xfId="0" applyFont="true" applyBorder="true" applyAlignment="true" applyProtection="false">
      <alignment horizontal="general" vertical="center" textRotation="0" wrapText="false" indent="0" shrinkToFit="false"/>
      <protection locked="true" hidden="false"/>
    </xf>
    <xf numFmtId="164" fontId="24" fillId="14" borderId="0" xfId="0" applyFont="true" applyBorder="true" applyAlignment="true" applyProtection="false">
      <alignment horizontal="general" vertical="center" textRotation="0" wrapText="true" indent="0" shrinkToFit="false"/>
      <protection locked="true" hidden="false"/>
    </xf>
    <xf numFmtId="165" fontId="14" fillId="14" borderId="0" xfId="0" applyFont="true" applyBorder="false" applyAlignment="true" applyProtection="false">
      <alignment horizontal="center" vertical="center" textRotation="0" wrapText="false" indent="0" shrinkToFit="false"/>
      <protection locked="true" hidden="false"/>
    </xf>
    <xf numFmtId="170" fontId="9" fillId="14" borderId="0" xfId="0" applyFont="true" applyBorder="false" applyAlignment="true" applyProtection="false">
      <alignment horizontal="center" vertical="center" textRotation="0" wrapText="false" indent="0" shrinkToFit="false"/>
      <protection locked="true" hidden="false"/>
    </xf>
    <xf numFmtId="167" fontId="33" fillId="14" borderId="0" xfId="0" applyFont="true" applyBorder="false" applyAlignment="true" applyProtection="false">
      <alignment horizontal="center" vertical="center" textRotation="0" wrapText="false" indent="0" shrinkToFit="false"/>
      <protection locked="true" hidden="false"/>
    </xf>
    <xf numFmtId="171" fontId="9" fillId="14" borderId="0" xfId="0" applyFont="true" applyBorder="true" applyAlignment="true" applyProtection="false">
      <alignment horizontal="center" vertical="center" textRotation="0" wrapText="false" indent="0" shrinkToFit="false"/>
      <protection locked="true" hidden="false"/>
    </xf>
    <xf numFmtId="164" fontId="11" fillId="12" borderId="0" xfId="0" applyFont="true" applyBorder="true" applyAlignment="true" applyProtection="false">
      <alignment horizontal="general" vertical="center" textRotation="0" wrapText="false" indent="0" shrinkToFit="false"/>
      <protection locked="true" hidden="false"/>
    </xf>
    <xf numFmtId="164" fontId="24" fillId="16" borderId="0" xfId="0" applyFont="true" applyBorder="true" applyAlignment="true" applyProtection="false">
      <alignment horizontal="general" vertical="center" textRotation="0" wrapText="true" indent="0" shrinkToFit="false"/>
      <protection locked="true" hidden="false"/>
    </xf>
    <xf numFmtId="165" fontId="14" fillId="16" borderId="0" xfId="0" applyFont="true" applyBorder="false" applyAlignment="true" applyProtection="false">
      <alignment horizontal="center" vertical="center" textRotation="0" wrapText="false" indent="0" shrinkToFit="false"/>
      <protection locked="true" hidden="false"/>
    </xf>
    <xf numFmtId="170" fontId="9" fillId="16" borderId="0" xfId="0" applyFont="true" applyBorder="false" applyAlignment="true" applyProtection="false">
      <alignment horizontal="center" vertical="center" textRotation="0" wrapText="false" indent="0" shrinkToFit="false"/>
      <protection locked="true" hidden="false"/>
    </xf>
    <xf numFmtId="164" fontId="33" fillId="16" borderId="0" xfId="0" applyFont="true" applyBorder="false" applyAlignment="true" applyProtection="false">
      <alignment horizontal="center" vertical="center" textRotation="0" wrapText="false" indent="0" shrinkToFit="false"/>
      <protection locked="true" hidden="false"/>
    </xf>
    <xf numFmtId="164" fontId="9" fillId="16" borderId="0" xfId="0" applyFont="true" applyBorder="true" applyAlignment="true" applyProtection="false">
      <alignment horizontal="center" vertical="center"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left" vertical="bottom" textRotation="0" wrapText="true" indent="0" shrinkToFit="false"/>
      <protection locked="true" hidden="false"/>
    </xf>
    <xf numFmtId="164" fontId="11" fillId="2" borderId="0" xfId="0" applyFont="true" applyBorder="false" applyAlignment="true" applyProtection="false">
      <alignment horizontal="center" vertical="bottom" textRotation="0" wrapText="tru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75" fontId="13" fillId="6"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true" applyAlignment="false" applyProtection="false">
      <alignment horizontal="general" vertical="bottom"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4" fontId="11" fillId="10" borderId="0" xfId="0" applyFont="true" applyBorder="true" applyAlignment="false" applyProtection="false">
      <alignment horizontal="general" vertical="bottom" textRotation="0" wrapText="false" indent="0" shrinkToFit="false"/>
      <protection locked="true" hidden="false"/>
    </xf>
    <xf numFmtId="164" fontId="4" fillId="10" borderId="0" xfId="0" applyFont="true" applyBorder="false" applyAlignment="false" applyProtection="false">
      <alignment horizontal="general" vertical="bottom" textRotation="0" wrapText="false" indent="0" shrinkToFit="false"/>
      <protection locked="true" hidden="false"/>
    </xf>
    <xf numFmtId="164" fontId="11" fillId="11" borderId="0" xfId="0" applyFont="true" applyBorder="true" applyAlignment="false" applyProtection="false">
      <alignment horizontal="general" vertical="bottom" textRotation="0" wrapText="false" indent="0" shrinkToFit="false"/>
      <protection locked="true" hidden="false"/>
    </xf>
    <xf numFmtId="164" fontId="11" fillId="12" borderId="0" xfId="0" applyFont="true" applyBorder="false" applyAlignment="false" applyProtection="false">
      <alignment horizontal="general" vertical="bottom" textRotation="0" wrapText="false" indent="0" shrinkToFit="false"/>
      <protection locked="true" hidden="false"/>
    </xf>
    <xf numFmtId="164" fontId="4" fillId="12" borderId="0" xfId="0" applyFont="true" applyBorder="false" applyAlignment="false" applyProtection="false">
      <alignment horizontal="general" vertical="bottom" textRotation="0" wrapText="false" indent="0" shrinkToFit="false"/>
      <protection locked="true" hidden="false"/>
    </xf>
    <xf numFmtId="176" fontId="13" fillId="6" borderId="0" xfId="0" applyFont="true" applyBorder="false" applyAlignment="false" applyProtection="false">
      <alignment horizontal="general" vertical="bottom" textRotation="0" wrapText="false" indent="0" shrinkToFit="false"/>
      <protection locked="true" hidden="false"/>
    </xf>
    <xf numFmtId="164" fontId="11" fillId="18" borderId="0" xfId="0" applyFont="true" applyBorder="false" applyAlignment="false" applyProtection="false">
      <alignment horizontal="general" vertical="bottom" textRotation="0" wrapText="false" indent="0" shrinkToFit="false"/>
      <protection locked="true" hidden="false"/>
    </xf>
    <xf numFmtId="164" fontId="4" fillId="18" borderId="0" xfId="0" applyFont="true" applyBorder="false" applyAlignment="false" applyProtection="false">
      <alignment horizontal="general" vertical="bottom" textRotation="0" wrapText="false" indent="0" shrinkToFit="false"/>
      <protection locked="true" hidden="false"/>
    </xf>
    <xf numFmtId="177" fontId="13" fillId="6" borderId="0" xfId="0" applyFont="true" applyBorder="fals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78" fontId="13" fillId="6" borderId="0" xfId="0" applyFont="true" applyBorder="false" applyAlignment="false" applyProtection="false">
      <alignment horizontal="general" vertical="bottom" textRotation="0" wrapText="false" indent="0" shrinkToFit="false"/>
      <protection locked="true" hidden="false"/>
    </xf>
    <xf numFmtId="164" fontId="11" fillId="10" borderId="0" xfId="0" applyFont="true" applyBorder="false" applyAlignment="true" applyProtection="false">
      <alignment horizontal="center" vertical="bottom"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79" fontId="14" fillId="0" borderId="0" xfId="0" applyFont="true" applyBorder="false" applyAlignment="false" applyProtection="false">
      <alignment horizontal="general" vertical="bottom" textRotation="0" wrapText="false" indent="0" shrinkToFit="false"/>
      <protection locked="true" hidden="false"/>
    </xf>
    <xf numFmtId="179" fontId="8"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80" fontId="14" fillId="0" borderId="0" xfId="0" applyFont="true" applyBorder="false" applyAlignment="false" applyProtection="false">
      <alignment horizontal="general" vertical="bottom" textRotation="0" wrapText="false" indent="0" shrinkToFit="false"/>
      <protection locked="true" hidden="false"/>
    </xf>
    <xf numFmtId="180" fontId="8" fillId="0" borderId="0" xfId="0" applyFont="true" applyBorder="false" applyAlignment="false" applyProtection="false">
      <alignment horizontal="general" vertical="bottom" textRotation="0" wrapText="false" indent="0" shrinkToFit="false"/>
      <protection locked="true" hidden="false"/>
    </xf>
    <xf numFmtId="164" fontId="38" fillId="13" borderId="8" xfId="0" applyFont="true" applyBorder="true" applyAlignment="false" applyProtection="false">
      <alignment horizontal="general" vertical="bottom" textRotation="0" wrapText="false" indent="0" shrinkToFit="false"/>
      <protection locked="true" hidden="false"/>
    </xf>
    <xf numFmtId="176" fontId="14" fillId="0" borderId="0" xfId="0" applyFont="true" applyBorder="false" applyAlignment="false" applyProtection="false">
      <alignment horizontal="general"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64" fontId="39" fillId="20" borderId="9" xfId="0" applyFont="true" applyBorder="true" applyAlignment="false" applyProtection="false">
      <alignment horizontal="general" vertical="bottom" textRotation="0" wrapText="false" indent="0" shrinkToFit="false"/>
      <protection locked="true" hidden="false"/>
    </xf>
    <xf numFmtId="164" fontId="40" fillId="15" borderId="10" xfId="0" applyFont="true" applyBorder="true" applyAlignment="false" applyProtection="false">
      <alignment horizontal="general" vertical="bottom" textRotation="0" wrapText="false" indent="0" shrinkToFit="false"/>
      <protection locked="true" hidden="false"/>
    </xf>
    <xf numFmtId="164" fontId="41" fillId="14" borderId="11" xfId="0" applyFont="true" applyBorder="true" applyAlignment="false" applyProtection="false">
      <alignment horizontal="general" vertical="bottom" textRotation="0" wrapText="false" indent="0" shrinkToFit="false"/>
      <protection locked="true" hidden="false"/>
    </xf>
    <xf numFmtId="164" fontId="42" fillId="16" borderId="12" xfId="0" applyFont="true" applyBorder="true" applyAlignment="false" applyProtection="false">
      <alignment horizontal="general" vertical="bottom" textRotation="0" wrapText="false" indent="0" shrinkToFit="false"/>
      <protection locked="true" hidden="false"/>
    </xf>
    <xf numFmtId="176" fontId="9" fillId="0" borderId="13" xfId="0" applyFont="true" applyBorder="tru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76" fontId="13" fillId="0" borderId="0" xfId="0" applyFont="true" applyBorder="false" applyAlignment="false" applyProtection="false">
      <alignment horizontal="general" vertical="bottom" textRotation="0" wrapText="false" indent="0" shrinkToFit="false"/>
      <protection locked="true" hidden="false"/>
    </xf>
    <xf numFmtId="175" fontId="1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true" indent="0" shrinkToFit="false"/>
      <protection locked="true" hidden="false"/>
    </xf>
    <xf numFmtId="177" fontId="13" fillId="0" borderId="0" xfId="0" applyFont="true" applyBorder="false" applyAlignment="false" applyProtection="false">
      <alignment horizontal="general" vertical="bottom" textRotation="0" wrapText="false" indent="0" shrinkToFit="false"/>
      <protection locked="true" hidden="false"/>
    </xf>
    <xf numFmtId="177" fontId="14" fillId="0" borderId="0" xfId="0" applyFont="true" applyBorder="false" applyAlignment="false" applyProtection="false">
      <alignment horizontal="general" vertical="bottom" textRotation="0" wrapText="false" indent="0" shrinkToFit="false"/>
      <protection locked="true" hidden="false"/>
    </xf>
    <xf numFmtId="178" fontId="9" fillId="0" borderId="0" xfId="0" applyFont="true" applyBorder="false" applyAlignment="false" applyProtection="false">
      <alignment horizontal="general" vertical="bottom" textRotation="0" wrapText="false" indent="0" shrinkToFit="false"/>
      <protection locked="true" hidden="false"/>
    </xf>
    <xf numFmtId="178" fontId="13" fillId="0" borderId="0" xfId="0" applyFont="true" applyBorder="false" applyAlignment="false" applyProtection="false">
      <alignment horizontal="general" vertical="bottom" textRotation="0" wrapText="false" indent="0" shrinkToFit="false"/>
      <protection locked="true" hidden="false"/>
    </xf>
    <xf numFmtId="181"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8" fontId="8" fillId="0" borderId="0" xfId="0" applyFont="true" applyBorder="false" applyAlignment="false" applyProtection="false">
      <alignment horizontal="general" vertical="bottom" textRotation="0" wrapText="false" indent="0" shrinkToFit="false"/>
      <protection locked="true" hidden="false"/>
    </xf>
    <xf numFmtId="178" fontId="14" fillId="0" borderId="0" xfId="0" applyFont="true" applyBorder="false" applyAlignment="false" applyProtection="false">
      <alignment horizontal="general" vertical="bottom" textRotation="0" wrapText="false" indent="0" shrinkToFit="false"/>
      <protection locked="true" hidden="false"/>
    </xf>
    <xf numFmtId="182" fontId="14"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true" applyAlignment="true" applyProtection="false">
      <alignment horizontal="general" vertical="center" textRotation="0" wrapText="true" indent="0" shrinkToFit="false"/>
      <protection locked="true" hidden="false"/>
    </xf>
    <xf numFmtId="179" fontId="13"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44" fillId="2"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5" fontId="13" fillId="0" borderId="0" xfId="0" applyFont="true" applyBorder="false" applyAlignment="false" applyProtection="false">
      <alignment horizontal="general" vertical="bottom" textRotation="0" wrapText="false" indent="0" shrinkToFit="false"/>
      <protection locked="true" hidden="false"/>
    </xf>
    <xf numFmtId="176" fontId="8" fillId="0" borderId="0" xfId="0" applyFont="true" applyBorder="false" applyAlignment="true" applyProtection="false">
      <alignment horizontal="left" vertical="bottom" textRotation="0" wrapText="false" indent="0" shrinkToFit="false"/>
      <protection locked="true" hidden="false"/>
    </xf>
    <xf numFmtId="170" fontId="8"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9" fontId="12" fillId="0" borderId="0" xfId="0" applyFont="true" applyBorder="false" applyAlignment="false" applyProtection="false">
      <alignment horizontal="general" vertical="bottom" textRotation="0" wrapText="false" indent="0" shrinkToFit="false"/>
      <protection locked="true" hidden="false"/>
    </xf>
    <xf numFmtId="179" fontId="13" fillId="0" borderId="0" xfId="0" applyFont="true" applyBorder="false" applyAlignment="false" applyProtection="false">
      <alignment horizontal="general" vertical="bottom" textRotation="0" wrapText="false" indent="0" shrinkToFit="false"/>
      <protection locked="true" hidden="false"/>
    </xf>
    <xf numFmtId="164" fontId="45" fillId="2" borderId="0" xfId="0" applyFont="true" applyBorder="false" applyAlignment="false" applyProtection="false">
      <alignment horizontal="general" vertical="bottom" textRotation="0" wrapText="false" indent="0" shrinkToFit="false"/>
      <protection locked="true" hidden="false"/>
    </xf>
    <xf numFmtId="164" fontId="46" fillId="3" borderId="0" xfId="0" applyFont="true" applyBorder="false" applyAlignment="false" applyProtection="false">
      <alignment horizontal="general" vertical="bottom" textRotation="0" wrapText="false" indent="0" shrinkToFit="false"/>
      <protection locked="true" hidden="false"/>
    </xf>
    <xf numFmtId="164" fontId="38" fillId="1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39" fillId="20" borderId="0" xfId="0" applyFont="true" applyBorder="false" applyAlignment="false" applyProtection="false">
      <alignment horizontal="general" vertical="bottom" textRotation="0" wrapText="false" indent="0" shrinkToFit="false"/>
      <protection locked="true" hidden="false"/>
    </xf>
    <xf numFmtId="164" fontId="40" fillId="15" borderId="0" xfId="0" applyFont="true" applyBorder="false" applyAlignment="false" applyProtection="false">
      <alignment horizontal="general" vertical="bottom" textRotation="0" wrapText="false" indent="0" shrinkToFit="false"/>
      <protection locked="true" hidden="false"/>
    </xf>
    <xf numFmtId="164" fontId="41" fillId="14" borderId="0" xfId="0" applyFont="true" applyBorder="false" applyAlignment="false" applyProtection="false">
      <alignment horizontal="general" vertical="bottom" textRotation="0" wrapText="false" indent="0" shrinkToFit="false"/>
      <protection locked="true" hidden="false"/>
    </xf>
    <xf numFmtId="181"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b val="1"/>
        <color rgb="FF006100"/>
        <sz val="22"/>
      </font>
      <fill>
        <patternFill>
          <bgColor rgb="FFC6EFCE"/>
        </patternFill>
      </fill>
    </dxf>
    <dxf>
      <font>
        <name val="Arial"/>
        <charset val="1"/>
        <family val="0"/>
        <b val="1"/>
        <color rgb="FF9C0006"/>
        <sz val="22"/>
      </font>
      <fill>
        <patternFill>
          <bgColor rgb="FFFFC7CE"/>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9C5700"/>
        <sz val="10"/>
      </font>
      <fill>
        <patternFill>
          <bgColor rgb="FFFFEB9C"/>
        </patternFill>
      </fill>
    </dxf>
    <dxf>
      <font>
        <name val="Arial"/>
        <charset val="1"/>
        <family val="0"/>
        <color rgb="FF006100"/>
        <sz val="10"/>
      </font>
    </dxf>
    <dxf>
      <font>
        <name val="Arial"/>
        <charset val="1"/>
        <family val="0"/>
        <color rgb="FF9C0006"/>
        <sz val="10"/>
      </font>
    </dxf>
    <dxf>
      <font>
        <name val="Arial"/>
        <charset val="1"/>
        <family val="0"/>
        <color rgb="FF006100"/>
        <sz val="10"/>
      </font>
      <fill>
        <patternFill>
          <bgColor rgb="FFC6EFCE"/>
        </patternFill>
      </fill>
    </dxf>
    <dxf>
      <font>
        <name val="Arial"/>
        <charset val="1"/>
        <family val="0"/>
        <color rgb="FF9C0006"/>
        <sz val="10"/>
      </font>
      <fill>
        <patternFill>
          <bgColor rgb="FFFFC7CE"/>
        </patternFill>
      </fill>
    </dxf>
  </dxfs>
  <colors>
    <indexedColors>
      <rgbColor rgb="FF000000"/>
      <rgbColor rgb="FFFFFFFF"/>
      <rgbColor rgb="FFC00000"/>
      <rgbColor rgb="FF00FF00"/>
      <rgbColor rgb="FF0000FF"/>
      <rgbColor rgb="FFFDEFCB"/>
      <rgbColor rgb="FFFF00FF"/>
      <rgbColor rgb="FF00FFFF"/>
      <rgbColor rgb="FF9C0006"/>
      <rgbColor rgb="FF008000"/>
      <rgbColor rgb="FF000080"/>
      <rgbColor rgb="FF6AA84F"/>
      <rgbColor rgb="FF800080"/>
      <rgbColor rgb="FF00A0B0"/>
      <rgbColor rgb="FFBFBFBF"/>
      <rgbColor rgb="FF7F7F7F"/>
      <rgbColor rgb="FFA6A6A6"/>
      <rgbColor rgb="FF595959"/>
      <rgbColor rgb="FFFFF2CC"/>
      <rgbColor rgb="FFD3F1F3"/>
      <rgbColor rgb="FF660066"/>
      <rgbColor rgb="FFE06666"/>
      <rgbColor rgb="FF0563C1"/>
      <rgbColor rgb="FFD9D9D9"/>
      <rgbColor rgb="FF000080"/>
      <rgbColor rgb="FFFF00FF"/>
      <rgbColor rgb="FFEDEDED"/>
      <rgbColor rgb="FF00FFFF"/>
      <rgbColor rgb="FF800080"/>
      <rgbColor rgb="FF800000"/>
      <rgbColor rgb="FF008080"/>
      <rgbColor rgb="FF0000FF"/>
      <rgbColor rgb="FF00CCFF"/>
      <rgbColor rgb="FFE2F0D9"/>
      <rgbColor rgb="FFC6EFCE"/>
      <rgbColor rgb="FFFFEB9C"/>
      <rgbColor rgb="FFD9E1F2"/>
      <rgbColor rgb="FFE7E6E6"/>
      <rgbColor rgb="FFDCE6F5"/>
      <rgbColor rgb="FFFFC7CE"/>
      <rgbColor rgb="FF4F81BD"/>
      <rgbColor rgb="FFF2F2F2"/>
      <rgbColor rgb="FFECE8F6"/>
      <rgbColor rgb="FFF1C232"/>
      <rgbColor rgb="FFE69A00"/>
      <rgbColor rgb="FFFF6600"/>
      <rgbColor rgb="FF7E6BB8"/>
      <rgbColor rgb="FF878787"/>
      <rgbColor rgb="FF1F3864"/>
      <rgbColor rgb="FF4E9A2E"/>
      <rgbColor rgb="FF006100"/>
      <rgbColor rgb="FF333300"/>
      <rgbColor rgb="FF9C57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quarter ($B)</a:t>
            </a:r>
          </a:p>
        </c:rich>
      </c:tx>
      <c:overlay val="0"/>
      <c:spPr>
        <a:noFill/>
        <a:ln w="0">
          <a:noFill/>
        </a:ln>
      </c:spPr>
    </c:title>
    <c:autoTitleDeleted val="0"/>
    <c:plotArea>
      <c:barChart>
        <c:barDir val="col"/>
        <c:grouping val="clustered"/>
        <c:varyColors val="0"/>
        <c:ser>
          <c:idx val="0"/>
          <c:order val="0"/>
          <c:tx>
            <c:strRef>
              <c:f>'Chart Data'!B1</c:f>
              <c:strCache>
                <c:ptCount val="1"/>
                <c:pt idx="0">
                  <c:v>Actual sales ($B)</c:v>
                </c:pt>
              </c:strCache>
            </c:strRef>
          </c:tx>
          <c:spPr>
            <a:solidFill>
              <a:srgbClr val="2f5597"/>
            </a:solidFill>
            <a:ln w="0">
              <a:solidFill>
                <a:srgbClr val="2f5597"/>
              </a:solid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Data'!$A$2:$A$9</c:f>
              <c:strCache>
                <c:ptCount val="8"/>
                <c:pt idx="0">
                  <c:v>Q1 '25</c:v>
                </c:pt>
                <c:pt idx="1">
                  <c:v>Q2 '25</c:v>
                </c:pt>
                <c:pt idx="2">
                  <c:v>Q3 '25</c:v>
                </c:pt>
                <c:pt idx="3">
                  <c:v>Q4 '25</c:v>
                </c:pt>
                <c:pt idx="4">
                  <c:v>Q1 '26</c:v>
                </c:pt>
                <c:pt idx="5">
                  <c:v>Q2 '26</c:v>
                </c:pt>
                <c:pt idx="6">
                  <c:v>Q3 '26</c:v>
                </c:pt>
                <c:pt idx="7">
                  <c:v>Q4 '26</c:v>
                </c:pt>
              </c:strCache>
            </c:strRef>
          </c:cat>
          <c:val>
            <c:numRef>
              <c:f>'Chart Data'!$B$2:$B$9</c:f>
              <c:numCache>
                <c:formatCode>0.00</c:formatCode>
                <c:ptCount val="8"/>
                <c:pt idx="0">
                  <c:v>8.174</c:v>
                </c:pt>
                <c:pt idx="1">
                  <c:v>8.643</c:v>
                </c:pt>
                <c:pt idx="2">
                  <c:v>8.317</c:v>
                </c:pt>
                <c:pt idx="3">
                  <c:v>8.536</c:v>
                </c:pt>
                <c:pt idx="4">
                  <c:v>8.398</c:v>
                </c:pt>
                <c:pt idx="5">
                  <c:v>9.457</c:v>
                </c:pt>
              </c:numCache>
            </c:numRef>
          </c:val>
        </c:ser>
        <c:ser>
          <c:idx val="1"/>
          <c:order val="1"/>
          <c:tx>
            <c:strRef>
              <c:f>'Chart Data'!C1</c:f>
              <c:strCache>
                <c:ptCount val="1"/>
                <c:pt idx="0">
                  <c:v>Forecast sales ($B)</c:v>
                </c:pt>
              </c:strCache>
            </c:strRef>
          </c:tx>
          <c:spPr>
            <a:solidFill>
              <a:srgbClr val="e69a00"/>
            </a:solidFill>
            <a:ln w="0">
              <a:solidFill>
                <a:srgbClr val="e69a00"/>
              </a:solid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Data'!$A$2:$A$9</c:f>
              <c:strCache>
                <c:ptCount val="8"/>
                <c:pt idx="0">
                  <c:v>Q1 '25</c:v>
                </c:pt>
                <c:pt idx="1">
                  <c:v>Q2 '25</c:v>
                </c:pt>
                <c:pt idx="2">
                  <c:v>Q3 '25</c:v>
                </c:pt>
                <c:pt idx="3">
                  <c:v>Q4 '25</c:v>
                </c:pt>
                <c:pt idx="4">
                  <c:v>Q1 '26</c:v>
                </c:pt>
                <c:pt idx="5">
                  <c:v>Q2 '26</c:v>
                </c:pt>
                <c:pt idx="6">
                  <c:v>Q3 '26</c:v>
                </c:pt>
                <c:pt idx="7">
                  <c:v>Q4 '26</c:v>
                </c:pt>
              </c:strCache>
            </c:strRef>
          </c:cat>
          <c:val>
            <c:numRef>
              <c:f>'Chart Data'!$C$2:$C$9</c:f>
              <c:numCache>
                <c:formatCode>0.00</c:formatCode>
                <c:ptCount val="8"/>
                <c:pt idx="6">
                  <c:v>9.481934448</c:v>
                </c:pt>
                <c:pt idx="7">
                  <c:v>9.97651812</c:v>
                </c:pt>
              </c:numCache>
            </c:numRef>
          </c:val>
        </c:ser>
        <c:gapWidth val="55"/>
        <c:overlap val="100"/>
        <c:axId val="95248233"/>
        <c:axId val="45930441"/>
      </c:barChart>
      <c:catAx>
        <c:axId val="952482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930441"/>
        <c:crosses val="autoZero"/>
        <c:auto val="1"/>
        <c:lblAlgn val="ctr"/>
        <c:lblOffset val="100"/>
        <c:noMultiLvlLbl val="0"/>
      </c:catAx>
      <c:valAx>
        <c:axId val="45930441"/>
        <c:scaling>
          <c:orientation val="minMax"/>
          <c:min val="0"/>
        </c:scaling>
        <c:delete val="0"/>
        <c:axPos val="l"/>
        <c:majorGridlines>
          <c:spPr>
            <a:ln w="9360">
              <a:solidFill>
                <a:srgbClr val="e7e6e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24823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2026 sales growth by business</a:t>
            </a:r>
          </a:p>
        </c:rich>
      </c:tx>
      <c:overlay val="0"/>
      <c:spPr>
        <a:noFill/>
        <a:ln w="0">
          <a:noFill/>
        </a:ln>
      </c:spPr>
    </c:title>
    <c:autoTitleDeleted val="0"/>
    <c:plotArea>
      <c:barChart>
        <c:barDir val="bar"/>
        <c:grouping val="clustered"/>
        <c:varyColors val="0"/>
        <c:ser>
          <c:idx val="0"/>
          <c:order val="0"/>
          <c:tx>
            <c:strRef>
              <c:f>'Chart Data'!B11</c:f>
              <c:strCache>
                <c:ptCount val="1"/>
                <c:pt idx="0">
                  <c:v>2026 sales growth</c:v>
                </c:pt>
              </c:strCache>
            </c:strRef>
          </c:tx>
          <c:spPr>
            <a:solidFill>
              <a:srgbClr val="4f81bd"/>
            </a:solidFill>
            <a:ln w="0">
              <a:noFill/>
            </a:ln>
          </c:spPr>
          <c:invertIfNegative val="0"/>
          <c:dPt>
            <c:idx val="0"/>
            <c:invertIfNegative val="0"/>
            <c:spPr>
              <a:solidFill>
                <a:srgbClr val="2f5597"/>
              </a:solidFill>
              <a:ln w="0">
                <a:solidFill>
                  <a:srgbClr val="2f5597"/>
                </a:solidFill>
              </a:ln>
            </c:spPr>
          </c:dPt>
          <c:dPt>
            <c:idx val="1"/>
            <c:invertIfNegative val="0"/>
            <c:spPr>
              <a:solidFill>
                <a:srgbClr val="00a0b0"/>
              </a:solidFill>
              <a:ln w="0">
                <a:solidFill>
                  <a:srgbClr val="00a0b0"/>
                </a:solidFill>
              </a:ln>
            </c:spPr>
          </c:dPt>
          <c:dPt>
            <c:idx val="2"/>
            <c:invertIfNegative val="0"/>
            <c:spPr>
              <a:solidFill>
                <a:srgbClr val="e69a00"/>
              </a:solidFill>
              <a:ln w="0">
                <a:solidFill>
                  <a:srgbClr val="e69a00"/>
                </a:solidFill>
              </a:ln>
            </c:spPr>
          </c:dPt>
          <c:dPt>
            <c:idx val="3"/>
            <c:invertIfNegative val="0"/>
            <c:spPr>
              <a:solidFill>
                <a:srgbClr val="4e9a2e"/>
              </a:solidFill>
              <a:ln w="0">
                <a:solidFill>
                  <a:srgbClr val="4e9a2e"/>
                </a:solidFill>
              </a:ln>
            </c:spPr>
          </c:dPt>
          <c:dPt>
            <c:idx val="4"/>
            <c:invertIfNegative val="0"/>
            <c:spPr>
              <a:solidFill>
                <a:srgbClr val="7e6bb8"/>
              </a:solidFill>
              <a:ln w="0">
                <a:solidFill>
                  <a:srgbClr val="7e6bb8"/>
                </a:solid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4"/>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Data'!$A$12:$A$16</c:f>
              <c:strCache>
                <c:ptCount val="5"/>
                <c:pt idx="0">
                  <c:v>Engine</c:v>
                </c:pt>
                <c:pt idx="1">
                  <c:v>Components</c:v>
                </c:pt>
                <c:pt idx="2">
                  <c:v>Distribution</c:v>
                </c:pt>
                <c:pt idx="3">
                  <c:v>Power Systems</c:v>
                </c:pt>
                <c:pt idx="4">
                  <c:v>Accelera</c:v>
                </c:pt>
              </c:strCache>
            </c:strRef>
          </c:cat>
          <c:val>
            <c:numRef>
              <c:f>'Chart Data'!$B$12:$B$16</c:f>
              <c:numCache>
                <c:formatCode>0.0%</c:formatCode>
                <c:ptCount val="5"/>
                <c:pt idx="0">
                  <c:v>0.10142583908046</c:v>
                </c:pt>
                <c:pt idx="1">
                  <c:v>0.0966587841166617</c:v>
                </c:pt>
                <c:pt idx="2">
                  <c:v>0.107671906489319</c:v>
                </c:pt>
                <c:pt idx="3">
                  <c:v>0.177090982178748</c:v>
                </c:pt>
                <c:pt idx="4">
                  <c:v>-0.180782608695652</c:v>
                </c:pt>
              </c:numCache>
            </c:numRef>
          </c:val>
        </c:ser>
        <c:gapWidth val="150"/>
        <c:overlap val="0"/>
        <c:axId val="12402923"/>
        <c:axId val="37118416"/>
      </c:barChart>
      <c:catAx>
        <c:axId val="1240292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118416"/>
        <c:crosses val="autoZero"/>
        <c:auto val="1"/>
        <c:lblAlgn val="ctr"/>
        <c:lblOffset val="100"/>
        <c:noMultiLvlLbl val="0"/>
      </c:catAx>
      <c:valAx>
        <c:axId val="37118416"/>
        <c:scaling>
          <c:orientation val="minMax"/>
          <c:min val="0"/>
        </c:scaling>
        <c:delete val="0"/>
        <c:axPos val="l"/>
        <c:majorGridlines>
          <c:spPr>
            <a:ln w="9360">
              <a:solidFill>
                <a:srgbClr val="e7e6e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4029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2026 profit by scenario ($B)</a:t>
            </a:r>
          </a:p>
        </c:rich>
      </c:tx>
      <c:overlay val="0"/>
      <c:spPr>
        <a:noFill/>
        <a:ln w="0">
          <a:noFill/>
        </a:ln>
      </c:spPr>
    </c:title>
    <c:autoTitleDeleted val="0"/>
    <c:plotArea>
      <c:barChart>
        <c:barDir val="col"/>
        <c:grouping val="clustered"/>
        <c:varyColors val="0"/>
        <c:ser>
          <c:idx val="0"/>
          <c:order val="0"/>
          <c:tx>
            <c:strRef>
              <c:f>'Chart Data'!B18</c:f>
              <c:strCache>
                <c:ptCount val="1"/>
                <c:pt idx="0">
                  <c:v>FY2026 adjusted EBITDA ($B)</c:v>
                </c:pt>
              </c:strCache>
            </c:strRef>
          </c:tx>
          <c:spPr>
            <a:solidFill>
              <a:srgbClr val="4f81bd"/>
            </a:solidFill>
            <a:ln w="0">
              <a:noFill/>
            </a:ln>
          </c:spPr>
          <c:invertIfNegative val="0"/>
          <c:dPt>
            <c:idx val="0"/>
            <c:invertIfNegative val="0"/>
            <c:spPr>
              <a:solidFill>
                <a:srgbClr val="e06666"/>
              </a:solidFill>
              <a:ln w="0">
                <a:noFill/>
              </a:ln>
            </c:spPr>
          </c:dPt>
          <c:dPt>
            <c:idx val="1"/>
            <c:invertIfNegative val="0"/>
            <c:spPr>
              <a:solidFill>
                <a:srgbClr val="7f7f7f"/>
              </a:solidFill>
              <a:ln w="0">
                <a:noFill/>
              </a:ln>
            </c:spPr>
          </c:dPt>
          <c:dPt>
            <c:idx val="2"/>
            <c:invertIfNegative val="0"/>
            <c:spPr>
              <a:solidFill>
                <a:srgbClr val="6aa84f"/>
              </a:solidFill>
              <a:ln w="0">
                <a:noFill/>
              </a:ln>
            </c:spPr>
          </c:dPt>
          <c:dPt>
            <c:idx val="3"/>
            <c:invertIfNegative val="0"/>
            <c:spPr>
              <a:solidFill>
                <a:srgbClr val="f1c232"/>
              </a:solidFill>
              <a:ln w="0">
                <a:noFill/>
              </a:ln>
            </c:spPr>
          </c:dPt>
          <c:dLbls>
            <c:numFmt formatCode="\$0.00\B" sourceLinked="1"/>
            <c:dLbl>
              <c:idx val="0"/>
              <c:numFmt formatCode="\$0.00\B"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00\B"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00\B"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00\B"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 Data'!$A$19:$A$22</c:f>
              <c:strCache>
                <c:ptCount val="4"/>
                <c:pt idx="0">
                  <c:v>Bear</c:v>
                </c:pt>
                <c:pt idx="1">
                  <c:v>Base</c:v>
                </c:pt>
                <c:pt idx="2">
                  <c:v>Bull</c:v>
                </c:pt>
                <c:pt idx="3">
                  <c:v>Custom</c:v>
                </c:pt>
              </c:strCache>
            </c:strRef>
          </c:cat>
          <c:val>
            <c:numRef>
              <c:f>'Chart Data'!$B$19:$B$22</c:f>
              <c:numCache>
                <c:formatCode>0.00</c:formatCode>
                <c:ptCount val="4"/>
                <c:pt idx="0">
                  <c:v>6.43077923559106</c:v>
                </c:pt>
                <c:pt idx="1">
                  <c:v>6.785406571</c:v>
                </c:pt>
                <c:pt idx="2">
                  <c:v>7.15528450640894</c:v>
                </c:pt>
                <c:pt idx="3">
                  <c:v>6.71402968277833</c:v>
                </c:pt>
              </c:numCache>
            </c:numRef>
          </c:val>
        </c:ser>
        <c:gapWidth val="150"/>
        <c:overlap val="0"/>
        <c:axId val="42919482"/>
        <c:axId val="21472706"/>
      </c:barChart>
      <c:catAx>
        <c:axId val="429194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472706"/>
        <c:crosses val="autoZero"/>
        <c:auto val="1"/>
        <c:lblAlgn val="ctr"/>
        <c:lblOffset val="100"/>
        <c:noMultiLvlLbl val="0"/>
      </c:catAx>
      <c:valAx>
        <c:axId val="21472706"/>
        <c:scaling>
          <c:orientation val="minMax"/>
          <c:min val="0"/>
        </c:scaling>
        <c:delete val="0"/>
        <c:axPos val="l"/>
        <c:majorGridlines>
          <c:spPr>
            <a:ln w="9360">
              <a:solidFill>
                <a:srgbClr val="e7e6e6"/>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91948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Profit margin by quarter</a:t>
            </a:r>
          </a:p>
        </c:rich>
      </c:tx>
      <c:overlay val="0"/>
      <c:spPr>
        <a:noFill/>
        <a:ln w="0">
          <a:noFill/>
        </a:ln>
      </c:spPr>
    </c:title>
    <c:autoTitleDeleted val="0"/>
    <c:plotArea>
      <c:lineChart>
        <c:grouping val="standard"/>
        <c:varyColors val="0"/>
        <c:ser>
          <c:idx val="0"/>
          <c:order val="0"/>
          <c:tx>
            <c:strRef>
              <c:f>'Chart Data'!D1</c:f>
              <c:strCache>
                <c:ptCount val="1"/>
                <c:pt idx="0">
                  <c:v>Actual margin</c:v>
                </c:pt>
              </c:strCache>
            </c:strRef>
          </c:tx>
          <c:spPr>
            <a:solidFill>
              <a:srgbClr val="2f5597"/>
            </a:solidFill>
            <a:ln w="28080">
              <a:solidFill>
                <a:srgbClr val="2f5597"/>
              </a:solidFill>
              <a:round/>
            </a:ln>
          </c:spPr>
          <c:marker>
            <c:symbol val="circle"/>
            <c:size val="6"/>
            <c:spPr>
              <a:solidFill>
                <a:srgbClr val="2f559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Data'!$A$2:$A$9</c:f>
              <c:strCache>
                <c:ptCount val="8"/>
                <c:pt idx="0">
                  <c:v>Q1 '25</c:v>
                </c:pt>
                <c:pt idx="1">
                  <c:v>Q2 '25</c:v>
                </c:pt>
                <c:pt idx="2">
                  <c:v>Q3 '25</c:v>
                </c:pt>
                <c:pt idx="3">
                  <c:v>Q4 '25</c:v>
                </c:pt>
                <c:pt idx="4">
                  <c:v>Q1 '26</c:v>
                </c:pt>
                <c:pt idx="5">
                  <c:v>Q2 '26</c:v>
                </c:pt>
                <c:pt idx="6">
                  <c:v>Q3 '26</c:v>
                </c:pt>
                <c:pt idx="7">
                  <c:v>Q4 '26</c:v>
                </c:pt>
              </c:strCache>
            </c:strRef>
          </c:cat>
          <c:val>
            <c:numRef>
              <c:f>'Chart Data'!$D$2:$D$9</c:f>
              <c:numCache>
                <c:formatCode>0.0%</c:formatCode>
                <c:ptCount val="8"/>
                <c:pt idx="0">
                  <c:v>0.178615121115733</c:v>
                </c:pt>
                <c:pt idx="1">
                  <c:v>0.183616799722319</c:v>
                </c:pt>
                <c:pt idx="2">
                  <c:v>0.171576289527474</c:v>
                </c:pt>
                <c:pt idx="3">
                  <c:v>0.160379568884724</c:v>
                </c:pt>
                <c:pt idx="4">
                  <c:v>0.177304120028578</c:v>
                </c:pt>
                <c:pt idx="5">
                  <c:v>0.174791159987311</c:v>
                </c:pt>
              </c:numCache>
            </c:numRef>
          </c:val>
          <c:smooth val="0"/>
        </c:ser>
        <c:ser>
          <c:idx val="1"/>
          <c:order val="1"/>
          <c:tx>
            <c:strRef>
              <c:f>'Chart Data'!E1</c:f>
              <c:strCache>
                <c:ptCount val="1"/>
                <c:pt idx="0">
                  <c:v>Forecast margin</c:v>
                </c:pt>
              </c:strCache>
            </c:strRef>
          </c:tx>
          <c:spPr>
            <a:solidFill>
              <a:srgbClr val="e69a00"/>
            </a:solidFill>
            <a:ln w="28080">
              <a:solidFill>
                <a:srgbClr val="e69a00"/>
              </a:solidFill>
              <a:prstDash val="dash"/>
              <a:round/>
            </a:ln>
          </c:spPr>
          <c:marker>
            <c:symbol val="circle"/>
            <c:size val="6"/>
            <c:spPr>
              <a:solidFill>
                <a:srgbClr val="e69a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Data'!$A$2:$A$9</c:f>
              <c:strCache>
                <c:ptCount val="8"/>
                <c:pt idx="0">
                  <c:v>Q1 '25</c:v>
                </c:pt>
                <c:pt idx="1">
                  <c:v>Q2 '25</c:v>
                </c:pt>
                <c:pt idx="2">
                  <c:v>Q3 '25</c:v>
                </c:pt>
                <c:pt idx="3">
                  <c:v>Q4 '25</c:v>
                </c:pt>
                <c:pt idx="4">
                  <c:v>Q1 '26</c:v>
                </c:pt>
                <c:pt idx="5">
                  <c:v>Q2 '26</c:v>
                </c:pt>
                <c:pt idx="6">
                  <c:v>Q3 '26</c:v>
                </c:pt>
                <c:pt idx="7">
                  <c:v>Q4 '26</c:v>
                </c:pt>
              </c:strCache>
            </c:strRef>
          </c:cat>
          <c:val>
            <c:numRef>
              <c:f>'Chart Data'!$E$2:$E$9</c:f>
              <c:numCache>
                <c:formatCode>0.0%</c:formatCode>
                <c:ptCount val="8"/>
                <c:pt idx="5">
                  <c:v>0.174791159987311</c:v>
                </c:pt>
                <c:pt idx="6">
                  <c:v>0.185652006523975</c:v>
                </c:pt>
                <c:pt idx="7">
                  <c:v>0.188749861660152</c:v>
                </c:pt>
              </c:numCache>
            </c:numRef>
          </c:val>
          <c:smooth val="0"/>
        </c:ser>
        <c:hiLowLines>
          <c:spPr>
            <a:ln w="0">
              <a:noFill/>
            </a:ln>
          </c:spPr>
        </c:hiLowLines>
        <c:marker val="1"/>
        <c:axId val="93334522"/>
        <c:axId val="43551039"/>
      </c:lineChart>
      <c:catAx>
        <c:axId val="933345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551039"/>
        <c:crosses val="autoZero"/>
        <c:auto val="1"/>
        <c:lblAlgn val="ctr"/>
        <c:lblOffset val="100"/>
        <c:noMultiLvlLbl val="0"/>
      </c:catAx>
      <c:valAx>
        <c:axId val="43551039"/>
        <c:scaling>
          <c:orientation val="minMax"/>
          <c:max val="0.2"/>
          <c:min val="0.14"/>
        </c:scaling>
        <c:delete val="0"/>
        <c:axPos val="l"/>
        <c:majorGridlines>
          <c:spPr>
            <a:ln w="9360">
              <a:solidFill>
                <a:srgbClr val="e7e6e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3452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39</xdr:row>
      <xdr:rowOff>0</xdr:rowOff>
    </xdr:from>
    <xdr:to>
      <xdr:col>6</xdr:col>
      <xdr:colOff>704880</xdr:colOff>
      <xdr:row>53</xdr:row>
      <xdr:rowOff>68760</xdr:rowOff>
    </xdr:to>
    <xdr:graphicFrame>
      <xdr:nvGraphicFramePr>
        <xdr:cNvPr id="0" name="Chart 1"/>
        <xdr:cNvGraphicFramePr/>
      </xdr:nvGraphicFramePr>
      <xdr:xfrm>
        <a:off x="141120" y="9915480"/>
        <a:ext cx="5111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39</xdr:row>
      <xdr:rowOff>0</xdr:rowOff>
    </xdr:from>
    <xdr:to>
      <xdr:col>12</xdr:col>
      <xdr:colOff>704520</xdr:colOff>
      <xdr:row>53</xdr:row>
      <xdr:rowOff>68760</xdr:rowOff>
    </xdr:to>
    <xdr:graphicFrame>
      <xdr:nvGraphicFramePr>
        <xdr:cNvPr id="1" name="Chart 2"/>
        <xdr:cNvGraphicFramePr/>
      </xdr:nvGraphicFramePr>
      <xdr:xfrm>
        <a:off x="5429160" y="9915480"/>
        <a:ext cx="5111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56</xdr:row>
      <xdr:rowOff>0</xdr:rowOff>
    </xdr:from>
    <xdr:to>
      <xdr:col>6</xdr:col>
      <xdr:colOff>704880</xdr:colOff>
      <xdr:row>70</xdr:row>
      <xdr:rowOff>68760</xdr:rowOff>
    </xdr:to>
    <xdr:graphicFrame>
      <xdr:nvGraphicFramePr>
        <xdr:cNvPr id="2" name="Chart 3"/>
        <xdr:cNvGraphicFramePr/>
      </xdr:nvGraphicFramePr>
      <xdr:xfrm>
        <a:off x="141120" y="13154040"/>
        <a:ext cx="5111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56</xdr:row>
      <xdr:rowOff>0</xdr:rowOff>
    </xdr:from>
    <xdr:to>
      <xdr:col>12</xdr:col>
      <xdr:colOff>704520</xdr:colOff>
      <xdr:row>70</xdr:row>
      <xdr:rowOff>68760</xdr:rowOff>
    </xdr:to>
    <xdr:graphicFrame>
      <xdr:nvGraphicFramePr>
        <xdr:cNvPr id="3" name="Chart 4"/>
        <xdr:cNvGraphicFramePr/>
      </xdr:nvGraphicFramePr>
      <xdr:xfrm>
        <a:off x="5429160" y="13154040"/>
        <a:ext cx="5111640" cy="273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E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70"/>
    <col collapsed="false" customWidth="true" hidden="false" outlineLevel="0" max="4" min="4" style="0" width="22"/>
  </cols>
  <sheetData>
    <row r="1" customFormat="false" ht="33.75" hidden="false" customHeight="true" outlineLevel="0" collapsed="false">
      <c r="A1" s="1"/>
      <c r="B1" s="2" t="s">
        <v>0</v>
      </c>
      <c r="C1" s="2"/>
      <c r="D1" s="2"/>
      <c r="E1" s="1"/>
    </row>
    <row r="2" customFormat="false" ht="21.75" hidden="false" customHeight="true" outlineLevel="0" collapsed="false">
      <c r="A2" s="3"/>
      <c r="B2" s="4" t="s">
        <v>1</v>
      </c>
      <c r="C2" s="4"/>
      <c r="D2" s="4"/>
      <c r="E2" s="3"/>
    </row>
    <row r="3" customFormat="false" ht="15" hidden="false" customHeight="false" outlineLevel="0" collapsed="false">
      <c r="A3" s="5"/>
      <c r="B3" s="5"/>
      <c r="C3" s="5"/>
      <c r="D3" s="5"/>
      <c r="E3" s="5"/>
    </row>
    <row r="4" customFormat="false" ht="15" hidden="false" customHeight="false" outlineLevel="0" collapsed="false">
      <c r="A4" s="5"/>
      <c r="B4" s="6" t="s">
        <v>2</v>
      </c>
      <c r="C4" s="7"/>
      <c r="D4" s="7"/>
      <c r="E4" s="5"/>
    </row>
    <row r="5" customFormat="false" ht="15" hidden="false" customHeight="false" outlineLevel="0" collapsed="false">
      <c r="A5" s="5"/>
      <c r="B5" s="8" t="s">
        <v>3</v>
      </c>
      <c r="C5" s="8"/>
      <c r="D5" s="8"/>
      <c r="E5" s="5"/>
    </row>
    <row r="6" customFormat="false" ht="15" hidden="false" customHeight="false" outlineLevel="0" collapsed="false">
      <c r="A6" s="5"/>
      <c r="B6" s="8" t="s">
        <v>4</v>
      </c>
      <c r="C6" s="8"/>
      <c r="D6" s="8"/>
      <c r="E6" s="5"/>
    </row>
    <row r="7" customFormat="false" ht="15" hidden="false" customHeight="false" outlineLevel="0" collapsed="false">
      <c r="A7" s="5"/>
      <c r="B7" s="8" t="s">
        <v>5</v>
      </c>
      <c r="C7" s="8"/>
      <c r="D7" s="8"/>
      <c r="E7" s="5"/>
    </row>
    <row r="8" customFormat="false" ht="15" hidden="false" customHeight="false" outlineLevel="0" collapsed="false">
      <c r="A8" s="5"/>
      <c r="B8" s="5"/>
      <c r="C8" s="5"/>
      <c r="D8" s="5"/>
      <c r="E8" s="5"/>
    </row>
    <row r="9" customFormat="false" ht="15" hidden="false" customHeight="false" outlineLevel="0" collapsed="false">
      <c r="A9" s="5"/>
      <c r="B9" s="6" t="s">
        <v>6</v>
      </c>
      <c r="C9" s="7"/>
      <c r="D9" s="7"/>
      <c r="E9" s="5"/>
    </row>
    <row r="10" customFormat="false" ht="15" hidden="false" customHeight="false" outlineLevel="0" collapsed="false">
      <c r="A10" s="5"/>
      <c r="B10" s="9" t="s">
        <v>7</v>
      </c>
      <c r="C10" s="10" t="s">
        <v>8</v>
      </c>
      <c r="D10" s="11" t="str">
        <f aca="false">HYPERLINK("#'Dashboard'!A1","Go to Dashboard →")</f>
        <v>Go to Dashboard →</v>
      </c>
      <c r="E10" s="5"/>
    </row>
    <row r="11" customFormat="false" ht="23.85" hidden="false" customHeight="false" outlineLevel="0" collapsed="false">
      <c r="A11" s="5"/>
      <c r="B11" s="9" t="s">
        <v>9</v>
      </c>
      <c r="C11" s="10" t="s">
        <v>10</v>
      </c>
      <c r="D11" s="11" t="str">
        <f aca="false">HYPERLINK("#'Dashboard'!A1","Go to Dashboard →")</f>
        <v>Go to Dashboard →</v>
      </c>
      <c r="E11" s="5"/>
    </row>
    <row r="12" customFormat="false" ht="15" hidden="false" customHeight="false" outlineLevel="0" collapsed="false">
      <c r="A12" s="5"/>
      <c r="B12" s="9" t="s">
        <v>11</v>
      </c>
      <c r="C12" s="10" t="s">
        <v>12</v>
      </c>
      <c r="D12" s="11" t="str">
        <f aca="false">HYPERLINK("#'Variance'!A1","Go to Variance →")</f>
        <v>Go to Variance →</v>
      </c>
      <c r="E12" s="5"/>
    </row>
    <row r="13" customFormat="false" ht="15" hidden="false" customHeight="false" outlineLevel="0" collapsed="false">
      <c r="A13" s="5"/>
      <c r="B13" s="5"/>
      <c r="C13" s="5"/>
      <c r="D13" s="5"/>
      <c r="E13" s="5"/>
    </row>
    <row r="14" customFormat="false" ht="15" hidden="false" customHeight="false" outlineLevel="0" collapsed="false">
      <c r="A14" s="5"/>
      <c r="B14" s="6" t="s">
        <v>13</v>
      </c>
      <c r="C14" s="7"/>
      <c r="D14" s="7"/>
      <c r="E14" s="5"/>
    </row>
    <row r="15" customFormat="false" ht="15" hidden="false" customHeight="false" outlineLevel="0" collapsed="false">
      <c r="A15" s="5"/>
      <c r="B15" s="12" t="s">
        <v>14</v>
      </c>
      <c r="C15" s="12" t="s">
        <v>15</v>
      </c>
      <c r="D15" s="12" t="s">
        <v>16</v>
      </c>
      <c r="E15" s="5"/>
    </row>
    <row r="16" customFormat="false" ht="22.35" hidden="false" customHeight="false" outlineLevel="0" collapsed="false">
      <c r="A16" s="5"/>
      <c r="B16" s="13" t="str">
        <f aca="false">HYPERLINK("#'Dashboard'!A1","Dashboard")</f>
        <v>Dashboard</v>
      </c>
      <c r="C16" s="14" t="s">
        <v>17</v>
      </c>
      <c r="D16" s="15" t="s">
        <v>18</v>
      </c>
      <c r="E16" s="5"/>
    </row>
    <row r="17" customFormat="false" ht="22.35" hidden="false" customHeight="false" outlineLevel="0" collapsed="false">
      <c r="A17" s="5"/>
      <c r="B17" s="11" t="str">
        <f aca="false">HYPERLINK("#'Inputs'!A1","Inputs")</f>
        <v>Inputs</v>
      </c>
      <c r="C17" s="16" t="s">
        <v>19</v>
      </c>
      <c r="D17" s="17" t="s">
        <v>20</v>
      </c>
      <c r="E17" s="5"/>
    </row>
    <row r="18" customFormat="false" ht="15" hidden="false" customHeight="false" outlineLevel="0" collapsed="false">
      <c r="A18" s="5"/>
      <c r="B18" s="13" t="str">
        <f aca="false">HYPERLINK("#'Forecast'!A1","Forecast")</f>
        <v>Forecast</v>
      </c>
      <c r="C18" s="14" t="s">
        <v>21</v>
      </c>
      <c r="D18" s="15" t="s">
        <v>22</v>
      </c>
      <c r="E18" s="5"/>
    </row>
    <row r="19" customFormat="false" ht="22.35" hidden="false" customHeight="false" outlineLevel="0" collapsed="false">
      <c r="A19" s="5"/>
      <c r="B19" s="11" t="str">
        <f aca="false">HYPERLINK("#'Variance'!A1","Variance")</f>
        <v>Variance</v>
      </c>
      <c r="C19" s="16" t="s">
        <v>23</v>
      </c>
      <c r="D19" s="17" t="s">
        <v>24</v>
      </c>
      <c r="E19" s="5"/>
    </row>
    <row r="20" customFormat="false" ht="22.35" hidden="false" customHeight="false" outlineLevel="0" collapsed="false">
      <c r="A20" s="5"/>
      <c r="B20" s="13" t="str">
        <f aca="false">HYPERLINK("#'Historicals'!A1","Historicals")</f>
        <v>Historicals</v>
      </c>
      <c r="C20" s="14" t="s">
        <v>25</v>
      </c>
      <c r="D20" s="15" t="s">
        <v>26</v>
      </c>
      <c r="E20" s="5"/>
    </row>
    <row r="21" customFormat="false" ht="15" hidden="false" customHeight="false" outlineLevel="0" collapsed="false">
      <c r="A21" s="5"/>
      <c r="B21" s="11" t="str">
        <f aca="false">HYPERLINK("#'Backtest'!A1","Backtest")</f>
        <v>Backtest</v>
      </c>
      <c r="C21" s="16" t="s">
        <v>27</v>
      </c>
      <c r="D21" s="17" t="s">
        <v>22</v>
      </c>
      <c r="E21" s="5"/>
    </row>
    <row r="22" customFormat="false" ht="15" hidden="false" customHeight="false" outlineLevel="0" collapsed="false">
      <c r="A22" s="5"/>
      <c r="B22" s="13" t="str">
        <f aca="false">HYPERLINK("#'Change Log'!A1","Change Log")</f>
        <v>Change Log</v>
      </c>
      <c r="C22" s="14" t="s">
        <v>28</v>
      </c>
      <c r="D22" s="15" t="s">
        <v>29</v>
      </c>
      <c r="E22" s="5"/>
    </row>
    <row r="23" customFormat="false" ht="15" hidden="false" customHeight="false" outlineLevel="0" collapsed="false">
      <c r="A23" s="5"/>
      <c r="B23" s="11" t="str">
        <f aca="false">HYPERLINK("#'Scenario Calc'!A1","Scenario Calc")</f>
        <v>Scenario Calc</v>
      </c>
      <c r="C23" s="16" t="s">
        <v>30</v>
      </c>
      <c r="D23" s="17" t="s">
        <v>22</v>
      </c>
      <c r="E23" s="5"/>
    </row>
    <row r="24" customFormat="false" ht="15" hidden="false" customHeight="false" outlineLevel="0" collapsed="false">
      <c r="A24" s="5"/>
      <c r="B24" s="13" t="str">
        <f aca="false">HYPERLINK("#'Chart Data'!A1","Chart Data")</f>
        <v>Chart Data</v>
      </c>
      <c r="C24" s="14" t="s">
        <v>31</v>
      </c>
      <c r="D24" s="15" t="s">
        <v>22</v>
      </c>
      <c r="E24" s="5"/>
    </row>
    <row r="25" customFormat="false" ht="15" hidden="false" customHeight="false" outlineLevel="0" collapsed="false">
      <c r="A25" s="5"/>
      <c r="B25" s="5"/>
      <c r="C25" s="5"/>
      <c r="D25" s="5"/>
      <c r="E25" s="5"/>
    </row>
    <row r="26" customFormat="false" ht="15" hidden="false" customHeight="false" outlineLevel="0" collapsed="false">
      <c r="A26" s="5"/>
      <c r="B26" s="6" t="s">
        <v>32</v>
      </c>
      <c r="C26" s="7"/>
      <c r="D26" s="7"/>
      <c r="E26" s="5"/>
    </row>
    <row r="27" customFormat="false" ht="15" hidden="false" customHeight="false" outlineLevel="0" collapsed="false">
      <c r="A27" s="5"/>
      <c r="B27" s="18" t="s">
        <v>33</v>
      </c>
      <c r="C27" s="16" t="s">
        <v>34</v>
      </c>
      <c r="D27" s="5"/>
      <c r="E27" s="5"/>
    </row>
    <row r="28" customFormat="false" ht="15" hidden="false" customHeight="false" outlineLevel="0" collapsed="false">
      <c r="A28" s="5"/>
      <c r="B28" s="19" t="s">
        <v>33</v>
      </c>
      <c r="C28" s="16" t="s">
        <v>35</v>
      </c>
      <c r="D28" s="5"/>
      <c r="E28" s="5"/>
    </row>
    <row r="29" customFormat="false" ht="15" hidden="false" customHeight="false" outlineLevel="0" collapsed="false">
      <c r="A29" s="5"/>
      <c r="B29" s="20" t="s">
        <v>33</v>
      </c>
      <c r="C29" s="16" t="s">
        <v>36</v>
      </c>
      <c r="D29" s="5"/>
      <c r="E29" s="5"/>
    </row>
    <row r="30" customFormat="false" ht="15" hidden="false" customHeight="false" outlineLevel="0" collapsed="false">
      <c r="A30" s="5"/>
      <c r="B30" s="21" t="s">
        <v>37</v>
      </c>
      <c r="C30" s="16" t="s">
        <v>38</v>
      </c>
      <c r="D30" s="5"/>
      <c r="E30" s="5"/>
    </row>
    <row r="31" customFormat="false" ht="15" hidden="false" customHeight="false" outlineLevel="0" collapsed="false">
      <c r="A31" s="5"/>
      <c r="B31" s="22" t="s">
        <v>39</v>
      </c>
      <c r="C31" s="16" t="s">
        <v>40</v>
      </c>
      <c r="D31" s="5"/>
      <c r="E31" s="5"/>
    </row>
    <row r="32" customFormat="false" ht="15" hidden="false" customHeight="false" outlineLevel="0" collapsed="false">
      <c r="A32" s="5"/>
      <c r="B32" s="23" t="s">
        <v>41</v>
      </c>
      <c r="C32" s="16" t="s">
        <v>42</v>
      </c>
      <c r="D32" s="5"/>
      <c r="E32" s="5"/>
    </row>
    <row r="33" customFormat="false" ht="15" hidden="false" customHeight="false" outlineLevel="0" collapsed="false">
      <c r="A33" s="5"/>
      <c r="B33" s="24" t="s">
        <v>43</v>
      </c>
      <c r="C33" s="25" t="s">
        <v>44</v>
      </c>
      <c r="D33" s="5"/>
      <c r="E33" s="5"/>
    </row>
    <row r="34" customFormat="false" ht="15" hidden="false" customHeight="false" outlineLevel="0" collapsed="false">
      <c r="A34" s="5"/>
      <c r="B34" s="26" t="s">
        <v>45</v>
      </c>
      <c r="C34" s="25" t="s">
        <v>44</v>
      </c>
      <c r="D34" s="5"/>
      <c r="E34" s="5"/>
    </row>
    <row r="35" customFormat="false" ht="15" hidden="false" customHeight="false" outlineLevel="0" collapsed="false">
      <c r="A35" s="5"/>
      <c r="B35" s="27" t="s">
        <v>46</v>
      </c>
      <c r="C35" s="25" t="s">
        <v>44</v>
      </c>
      <c r="D35" s="5"/>
      <c r="E35" s="5"/>
    </row>
    <row r="36" customFormat="false" ht="15" hidden="false" customHeight="false" outlineLevel="0" collapsed="false">
      <c r="A36" s="5"/>
      <c r="B36" s="28" t="s">
        <v>47</v>
      </c>
      <c r="C36" s="25" t="s">
        <v>44</v>
      </c>
      <c r="D36" s="5"/>
      <c r="E36" s="5"/>
    </row>
    <row r="37" customFormat="false" ht="15" hidden="false" customHeight="false" outlineLevel="0" collapsed="false">
      <c r="A37" s="5"/>
      <c r="B37" s="29" t="s">
        <v>48</v>
      </c>
      <c r="C37" s="25" t="s">
        <v>44</v>
      </c>
      <c r="D37" s="5"/>
      <c r="E37" s="5"/>
    </row>
    <row r="38" customFormat="false" ht="15" hidden="false" customHeight="false" outlineLevel="0" collapsed="false">
      <c r="A38" s="5"/>
      <c r="B38" s="5"/>
      <c r="C38" s="5"/>
      <c r="D38" s="5"/>
      <c r="E38" s="5"/>
    </row>
    <row r="39" customFormat="false" ht="15" hidden="false" customHeight="false" outlineLevel="0" collapsed="false">
      <c r="A39" s="5"/>
      <c r="B39" s="6" t="s">
        <v>49</v>
      </c>
      <c r="C39" s="7"/>
      <c r="D39" s="7"/>
      <c r="E39" s="5"/>
    </row>
    <row r="40" customFormat="false" ht="27" hidden="false" customHeight="true" outlineLevel="0" collapsed="false">
      <c r="A40" s="5"/>
      <c r="B40" s="9" t="s">
        <v>50</v>
      </c>
      <c r="C40" s="30" t="s">
        <v>51</v>
      </c>
      <c r="D40" s="30"/>
      <c r="E40" s="5"/>
    </row>
    <row r="41" customFormat="false" ht="27" hidden="false" customHeight="true" outlineLevel="0" collapsed="false">
      <c r="A41" s="5"/>
      <c r="B41" s="9" t="s">
        <v>52</v>
      </c>
      <c r="C41" s="30" t="s">
        <v>53</v>
      </c>
      <c r="D41" s="30"/>
      <c r="E41" s="5"/>
    </row>
    <row r="42" customFormat="false" ht="27" hidden="false" customHeight="true" outlineLevel="0" collapsed="false">
      <c r="A42" s="5"/>
      <c r="B42" s="9" t="s">
        <v>54</v>
      </c>
      <c r="C42" s="30" t="s">
        <v>55</v>
      </c>
      <c r="D42" s="30"/>
      <c r="E42" s="5"/>
    </row>
    <row r="43" customFormat="false" ht="27" hidden="false" customHeight="true" outlineLevel="0" collapsed="false">
      <c r="A43" s="5"/>
      <c r="B43" s="9" t="s">
        <v>56</v>
      </c>
      <c r="C43" s="30" t="s">
        <v>57</v>
      </c>
      <c r="D43" s="30"/>
      <c r="E43" s="5"/>
    </row>
    <row r="44" customFormat="false" ht="27" hidden="false" customHeight="true" outlineLevel="0" collapsed="false">
      <c r="A44" s="5"/>
      <c r="B44" s="9" t="s">
        <v>58</v>
      </c>
      <c r="C44" s="30" t="s">
        <v>59</v>
      </c>
      <c r="D44" s="30"/>
      <c r="E44" s="5"/>
    </row>
    <row r="45" customFormat="false" ht="27" hidden="false" customHeight="true" outlineLevel="0" collapsed="false">
      <c r="A45" s="5"/>
      <c r="B45" s="9" t="s">
        <v>60</v>
      </c>
      <c r="C45" s="30" t="s">
        <v>61</v>
      </c>
      <c r="D45" s="30"/>
      <c r="E45" s="5"/>
    </row>
    <row r="46" customFormat="false" ht="27" hidden="false" customHeight="true" outlineLevel="0" collapsed="false">
      <c r="A46" s="5"/>
      <c r="B46" s="9" t="s">
        <v>62</v>
      </c>
      <c r="C46" s="30" t="s">
        <v>63</v>
      </c>
      <c r="D46" s="30"/>
      <c r="E46" s="5"/>
    </row>
    <row r="47" customFormat="false" ht="27" hidden="false" customHeight="true" outlineLevel="0" collapsed="false">
      <c r="A47" s="5"/>
      <c r="B47" s="9" t="s">
        <v>64</v>
      </c>
      <c r="C47" s="30" t="s">
        <v>65</v>
      </c>
      <c r="D47" s="30"/>
      <c r="E47" s="5"/>
    </row>
    <row r="48" customFormat="false" ht="27" hidden="false" customHeight="true" outlineLevel="0" collapsed="false">
      <c r="A48" s="5"/>
      <c r="B48" s="9" t="s">
        <v>66</v>
      </c>
      <c r="C48" s="30" t="s">
        <v>67</v>
      </c>
      <c r="D48" s="30"/>
      <c r="E48" s="5"/>
    </row>
    <row r="49" customFormat="false" ht="27" hidden="false" customHeight="true" outlineLevel="0" collapsed="false">
      <c r="A49" s="5"/>
      <c r="B49" s="9" t="s">
        <v>68</v>
      </c>
      <c r="C49" s="30" t="s">
        <v>69</v>
      </c>
      <c r="D49" s="30"/>
      <c r="E49" s="5"/>
    </row>
    <row r="50" customFormat="false" ht="27" hidden="false" customHeight="true" outlineLevel="0" collapsed="false">
      <c r="A50" s="5"/>
      <c r="B50" s="9" t="s">
        <v>70</v>
      </c>
      <c r="C50" s="30" t="s">
        <v>71</v>
      </c>
      <c r="D50" s="30"/>
      <c r="E50" s="5"/>
    </row>
    <row r="51" customFormat="false" ht="27" hidden="false" customHeight="true" outlineLevel="0" collapsed="false">
      <c r="A51" s="5"/>
      <c r="B51" s="9" t="s">
        <v>72</v>
      </c>
      <c r="C51" s="30" t="s">
        <v>73</v>
      </c>
      <c r="D51" s="30"/>
      <c r="E51" s="5"/>
    </row>
    <row r="52" customFormat="false" ht="27" hidden="false" customHeight="true" outlineLevel="0" collapsed="false">
      <c r="A52" s="5"/>
      <c r="B52" s="9" t="s">
        <v>74</v>
      </c>
      <c r="C52" s="30" t="s">
        <v>75</v>
      </c>
      <c r="D52" s="30"/>
      <c r="E52" s="5"/>
    </row>
    <row r="53" customFormat="false" ht="15" hidden="false" customHeight="false" outlineLevel="0" collapsed="false">
      <c r="A53" s="5"/>
      <c r="B53" s="5"/>
      <c r="C53" s="5"/>
      <c r="D53" s="5"/>
      <c r="E53" s="5"/>
    </row>
    <row r="54" customFormat="false" ht="15" hidden="false" customHeight="false" outlineLevel="0" collapsed="false">
      <c r="A54" s="5"/>
      <c r="B54" s="6" t="s">
        <v>76</v>
      </c>
      <c r="C54" s="7"/>
      <c r="D54" s="7"/>
      <c r="E54" s="5"/>
    </row>
    <row r="55" customFormat="false" ht="15" hidden="false" customHeight="false" outlineLevel="0" collapsed="false">
      <c r="A55" s="5"/>
      <c r="B55" s="25" t="s">
        <v>77</v>
      </c>
      <c r="C55" s="5"/>
      <c r="D55" s="5"/>
      <c r="E55" s="5"/>
    </row>
    <row r="56" customFormat="false" ht="15" hidden="false" customHeight="false" outlineLevel="0" collapsed="false">
      <c r="A56" s="5"/>
      <c r="B56" s="25" t="s">
        <v>78</v>
      </c>
      <c r="C56" s="5"/>
      <c r="D56" s="5"/>
      <c r="E56" s="5"/>
    </row>
    <row r="57" customFormat="false" ht="15" hidden="false" customHeight="false" outlineLevel="0" collapsed="false">
      <c r="A57" s="5"/>
      <c r="B57" s="25" t="s">
        <v>79</v>
      </c>
      <c r="C57" s="5"/>
      <c r="D57" s="5"/>
      <c r="E57" s="5"/>
    </row>
    <row r="58" customFormat="false" ht="15" hidden="false" customHeight="false" outlineLevel="0" collapsed="false">
      <c r="A58" s="5"/>
      <c r="B58" s="25" t="s">
        <v>80</v>
      </c>
      <c r="C58" s="5"/>
      <c r="D58" s="5"/>
      <c r="E58" s="5"/>
    </row>
  </sheetData>
  <mergeCells count="18">
    <mergeCell ref="B1:D1"/>
    <mergeCell ref="B2:D2"/>
    <mergeCell ref="B5:D5"/>
    <mergeCell ref="B6:D6"/>
    <mergeCell ref="B7:D7"/>
    <mergeCell ref="C40:D40"/>
    <mergeCell ref="C41:D41"/>
    <mergeCell ref="C42:D42"/>
    <mergeCell ref="C43:D43"/>
    <mergeCell ref="C44:D44"/>
    <mergeCell ref="C45:D45"/>
    <mergeCell ref="C46:D46"/>
    <mergeCell ref="C47:D47"/>
    <mergeCell ref="C48:D48"/>
    <mergeCell ref="C49:D49"/>
    <mergeCell ref="C50:D50"/>
    <mergeCell ref="C51:D51"/>
    <mergeCell ref="C52:D5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2.5"/>
    <col collapsed="false" customWidth="true" hidden="false" outlineLevel="0" max="14" min="14" style="0" width="2"/>
  </cols>
  <sheetData>
    <row r="1" customFormat="false" ht="37.5" hidden="false" customHeight="true" outlineLevel="0" collapsed="false">
      <c r="A1" s="1"/>
      <c r="B1" s="31" t="s">
        <v>81</v>
      </c>
      <c r="C1" s="31"/>
      <c r="D1" s="31"/>
      <c r="E1" s="31"/>
      <c r="F1" s="31"/>
      <c r="G1" s="31"/>
      <c r="H1" s="31"/>
      <c r="I1" s="31"/>
      <c r="J1" s="31"/>
      <c r="K1" s="31"/>
      <c r="L1" s="31"/>
      <c r="M1" s="31"/>
      <c r="N1" s="1"/>
    </row>
    <row r="2" customFormat="false" ht="19.5" hidden="false" customHeight="true" outlineLevel="0" collapsed="false">
      <c r="A2" s="3"/>
      <c r="B2" s="4" t="s">
        <v>82</v>
      </c>
      <c r="C2" s="4"/>
      <c r="D2" s="4"/>
      <c r="E2" s="4"/>
      <c r="F2" s="4"/>
      <c r="G2" s="4"/>
      <c r="H2" s="4"/>
      <c r="I2" s="4"/>
      <c r="J2" s="4"/>
      <c r="K2" s="4"/>
      <c r="L2" s="4"/>
      <c r="M2" s="4"/>
      <c r="N2" s="3"/>
    </row>
    <row r="3" customFormat="false" ht="15" hidden="false" customHeight="false" outlineLevel="0" collapsed="false">
      <c r="A3" s="5"/>
      <c r="B3" s="32" t="s">
        <v>83</v>
      </c>
      <c r="C3" s="11" t="str">
        <f aca="false">HYPERLINK("#'Start Here'!A1","Start Here")</f>
        <v>Start Here</v>
      </c>
      <c r="D3" s="11" t="str">
        <f aca="false">HYPERLINK("#'Inputs'!A1","Inputs")</f>
        <v>Inputs</v>
      </c>
      <c r="E3" s="11" t="str">
        <f aca="false">HYPERLINK("#'Forecast'!A1","Forecast")</f>
        <v>Forecast</v>
      </c>
      <c r="F3" s="11" t="str">
        <f aca="false">HYPERLINK("#'Variance'!A1","Variance")</f>
        <v>Variance</v>
      </c>
      <c r="G3" s="11" t="str">
        <f aca="false">HYPERLINK("#'Backtest'!A1","Backtest")</f>
        <v>Backtest</v>
      </c>
      <c r="H3" s="11" t="str">
        <f aca="false">HYPERLINK("#'Change Log'!A1","Change Log")</f>
        <v>Change Log</v>
      </c>
      <c r="I3" s="11" t="str">
        <f aca="false">HYPERLINK("#'Historicals'!A1","Historicals")</f>
        <v>Historicals</v>
      </c>
      <c r="J3" s="11" t="str">
        <f aca="false">HYPERLINK("#'Scenario Calc'!A1","Scenario Calc")</f>
        <v>Scenario Calc</v>
      </c>
      <c r="K3" s="5"/>
      <c r="L3" s="5"/>
      <c r="M3" s="5"/>
      <c r="N3" s="5"/>
    </row>
    <row r="4" customFormat="false" ht="15" hidden="false" customHeight="false" outlineLevel="0" collapsed="false">
      <c r="A4" s="5"/>
      <c r="B4" s="5"/>
      <c r="C4" s="5"/>
      <c r="D4" s="5"/>
      <c r="E4" s="5"/>
      <c r="F4" s="5"/>
      <c r="G4" s="5"/>
      <c r="H4" s="5"/>
      <c r="I4" s="5"/>
      <c r="J4" s="5"/>
      <c r="K4" s="5"/>
      <c r="L4" s="5"/>
      <c r="M4" s="5"/>
      <c r="N4" s="5"/>
    </row>
    <row r="5" customFormat="false" ht="15" hidden="false" customHeight="true" outlineLevel="0" collapsed="false">
      <c r="A5" s="5"/>
      <c r="B5" s="33" t="s">
        <v>84</v>
      </c>
      <c r="C5" s="33"/>
      <c r="D5" s="33"/>
      <c r="E5" s="34" t="s">
        <v>85</v>
      </c>
      <c r="F5" s="34"/>
      <c r="G5" s="34"/>
      <c r="H5" s="35" t="s">
        <v>86</v>
      </c>
      <c r="I5" s="35"/>
      <c r="J5" s="35"/>
      <c r="K5" s="36" t="s">
        <v>87</v>
      </c>
      <c r="L5" s="36"/>
      <c r="M5" s="36"/>
      <c r="N5" s="5"/>
    </row>
    <row r="6" customFormat="false" ht="19.5" hidden="false" customHeight="true" outlineLevel="0" collapsed="false">
      <c r="A6" s="5"/>
      <c r="B6" s="37" t="n">
        <f aca="false">Forecast!I17</f>
        <v>37313.452568</v>
      </c>
      <c r="C6" s="37"/>
      <c r="D6" s="37"/>
      <c r="E6" s="38" t="n">
        <f aca="false">Forecast!I29</f>
        <v>6785.406571</v>
      </c>
      <c r="F6" s="38"/>
      <c r="G6" s="38"/>
      <c r="H6" s="39" t="n">
        <f aca="false">Forecast!I30</f>
        <v>0.181848799937081</v>
      </c>
      <c r="I6" s="39"/>
      <c r="J6" s="39"/>
      <c r="K6" s="40" t="str">
        <f aca="false">IF(AND(Forecast!B35="Yes",Forecast!B38="Yes"),"Yes","Not quite")</f>
        <v>Yes</v>
      </c>
      <c r="L6" s="40"/>
      <c r="M6" s="40"/>
      <c r="N6" s="5"/>
    </row>
    <row r="7" customFormat="false" ht="19.5" hidden="false" customHeight="true" outlineLevel="0" collapsed="false">
      <c r="A7" s="5"/>
      <c r="B7" s="37"/>
      <c r="C7" s="37"/>
      <c r="D7" s="37"/>
      <c r="E7" s="38"/>
      <c r="F7" s="38"/>
      <c r="G7" s="38"/>
      <c r="H7" s="39"/>
      <c r="I7" s="39"/>
      <c r="J7" s="39"/>
      <c r="K7" s="40"/>
      <c r="L7" s="40"/>
      <c r="M7" s="40"/>
      <c r="N7" s="5"/>
    </row>
    <row r="8" customFormat="false" ht="27.75" hidden="false" customHeight="true" outlineLevel="0" collapsed="false">
      <c r="A8" s="5"/>
      <c r="B8" s="41" t="str">
        <f aca="false">"Up "&amp;TEXT(Forecast!K17,"0.0%")&amp;" on 2025's "&amp;TEXT(Forecast!J17/1000,"$0.0")&amp;"B"</f>
        <v>Up 10.8% on 2025's $33.7B</v>
      </c>
      <c r="C8" s="41"/>
      <c r="D8" s="41"/>
      <c r="E8" s="42" t="str">
        <f aca="false">"Up "&amp;TEXT(Forecast!I29/Forecast!J29-1,"0%")&amp;" on 2025's "&amp;TEXT(Forecast!J29/1000,"$0.0")&amp;"B"</f>
        <v>Up 16% on 2025's $5.8B</v>
      </c>
      <c r="F8" s="42"/>
      <c r="G8" s="42"/>
      <c r="H8" s="43" t="str">
        <f aca="false">"About "&amp;TEXT(Forecast!I30*100,"0")&amp;" cents of profit per $1 of sales"</f>
        <v>About 18 cents of profit per $1 of sales</v>
      </c>
      <c r="I8" s="43"/>
      <c r="J8" s="43"/>
      <c r="K8" s="44" t="str">
        <f aca="false">"Targets: sales +"&amp;TEXT(Inputs!$B$31,"0%")&amp;" to +"&amp;TEXT(Inputs!$B$32,"0%")&amp;", margin "&amp;TEXT(Inputs!$B$33,"0.0%")&amp;" to "&amp;TEXT(Inputs!$B$34,"0.0%")</f>
        <v>Targets: sales +10% to +13%, margin 18.0% to 18.5%</v>
      </c>
      <c r="L8" s="44"/>
      <c r="M8" s="44"/>
      <c r="N8" s="5"/>
    </row>
    <row r="9" customFormat="false" ht="15" hidden="false" customHeight="false" outlineLevel="0" collapsed="false">
      <c r="A9" s="5"/>
      <c r="B9" s="5"/>
      <c r="C9" s="5"/>
      <c r="D9" s="5"/>
      <c r="E9" s="5"/>
      <c r="F9" s="5"/>
      <c r="G9" s="5"/>
      <c r="H9" s="5"/>
      <c r="I9" s="5"/>
      <c r="J9" s="5"/>
      <c r="K9" s="5"/>
      <c r="L9" s="5"/>
      <c r="M9" s="5"/>
      <c r="N9" s="5"/>
    </row>
    <row r="10" customFormat="false" ht="21.75" hidden="false" customHeight="true" outlineLevel="0" collapsed="false">
      <c r="A10" s="5"/>
      <c r="B10" s="45" t="s">
        <v>88</v>
      </c>
      <c r="C10" s="1"/>
      <c r="D10" s="1"/>
      <c r="E10" s="1"/>
      <c r="F10" s="1"/>
      <c r="G10" s="1"/>
      <c r="H10" s="1"/>
      <c r="I10" s="1"/>
      <c r="J10" s="1"/>
      <c r="K10" s="1"/>
      <c r="L10" s="1"/>
      <c r="M10" s="1"/>
      <c r="N10" s="5"/>
    </row>
    <row r="11" customFormat="false" ht="15" hidden="false" customHeight="false" outlineLevel="0" collapsed="false">
      <c r="A11" s="5"/>
      <c r="B11" s="46" t="s">
        <v>89</v>
      </c>
      <c r="C11" s="46"/>
      <c r="D11" s="46"/>
      <c r="E11" s="46" t="s">
        <v>90</v>
      </c>
      <c r="F11" s="46"/>
      <c r="G11" s="46"/>
      <c r="H11" s="46" t="s">
        <v>91</v>
      </c>
      <c r="I11" s="46"/>
      <c r="J11" s="46"/>
      <c r="K11" s="47" t="str">
        <f aca="false">IF(Variance!C11="","Waiting for results (early Nov 2026)",IF(Variance!D11&gt;=0,"Sales BEAT budget by "&amp;TEXT(Variance!D11,"$#,##0")&amp;"M","Sales MISSED budget by "&amp;TEXT(-Variance!D11,"$#,##0")&amp;"M"))</f>
        <v>Waiting for results (early Nov 2026)</v>
      </c>
      <c r="L11" s="47"/>
      <c r="M11" s="47"/>
      <c r="N11" s="5"/>
    </row>
    <row r="12" customFormat="false" ht="25.5" hidden="false" customHeight="true" outlineLevel="0" collapsed="false">
      <c r="A12" s="5"/>
      <c r="B12" s="48" t="n">
        <f aca="false">Forecast!C17</f>
        <v>9481.934448</v>
      </c>
      <c r="C12" s="48"/>
      <c r="D12" s="48"/>
      <c r="E12" s="49" t="n">
        <f aca="false">Forecast!C30</f>
        <v>0.185652006523975</v>
      </c>
      <c r="F12" s="49"/>
      <c r="G12" s="49"/>
      <c r="H12" s="48" t="n">
        <f aca="false">Inputs!$B$53</f>
        <v>9840</v>
      </c>
      <c r="I12" s="48"/>
      <c r="J12" s="48"/>
      <c r="K12" s="47"/>
      <c r="L12" s="47"/>
      <c r="M12" s="47"/>
      <c r="N12" s="5"/>
    </row>
    <row r="13" customFormat="false" ht="15" hidden="false" customHeight="false" outlineLevel="0" collapsed="false">
      <c r="A13" s="5"/>
      <c r="B13" s="5"/>
      <c r="C13" s="5"/>
      <c r="D13" s="5"/>
      <c r="E13" s="5"/>
      <c r="F13" s="5"/>
      <c r="G13" s="5"/>
      <c r="H13" s="5"/>
      <c r="I13" s="5"/>
      <c r="J13" s="5"/>
      <c r="K13" s="5"/>
      <c r="L13" s="5"/>
      <c r="M13" s="5"/>
      <c r="N13" s="5"/>
    </row>
    <row r="14" customFormat="false" ht="21.75" hidden="false" customHeight="true" outlineLevel="0" collapsed="false">
      <c r="A14" s="5"/>
      <c r="B14" s="50" t="s">
        <v>92</v>
      </c>
      <c r="C14" s="51"/>
      <c r="D14" s="51"/>
      <c r="E14" s="51"/>
      <c r="F14" s="51"/>
      <c r="G14" s="51"/>
      <c r="H14" s="51"/>
      <c r="I14" s="51"/>
      <c r="J14" s="51"/>
      <c r="K14" s="51"/>
      <c r="L14" s="51"/>
      <c r="M14" s="51"/>
      <c r="N14" s="5"/>
    </row>
    <row r="15" customFormat="false" ht="33.75" hidden="false" customHeight="true" outlineLevel="0" collapsed="false">
      <c r="A15" s="5"/>
      <c r="B15" s="52" t="s">
        <v>93</v>
      </c>
      <c r="C15" s="52"/>
      <c r="D15" s="53" t="s">
        <v>94</v>
      </c>
      <c r="E15" s="53"/>
      <c r="F15" s="54" t="str">
        <f aca="false">IF(D15="Bear","Bear: truck builds and data center orders both disappoint by about as much as this method has missed before (Backtest tab), and margins slip half a point.",IF(D15="Bull","Bull: the same-sized surprise in the good direction: truck-linked growth 8 points higher, data center 7 points higher, margins half a point higher.",IF(D15="Custom","Custom: type your own changes in the yellow Custom column below.","Base: the locked budget, unchanged.")))</f>
        <v>Base: the locked budget, unchanged.</v>
      </c>
      <c r="G15" s="54"/>
      <c r="H15" s="54"/>
      <c r="I15" s="54"/>
      <c r="J15" s="54"/>
      <c r="K15" s="54"/>
      <c r="L15" s="54"/>
      <c r="M15" s="54"/>
      <c r="N15" s="5"/>
    </row>
    <row r="16" customFormat="false" ht="15" hidden="false" customHeight="false" outlineLevel="0" collapsed="false">
      <c r="A16" s="5"/>
      <c r="B16" s="5"/>
      <c r="C16" s="5"/>
      <c r="D16" s="5"/>
      <c r="E16" s="5"/>
      <c r="F16" s="5"/>
      <c r="G16" s="5"/>
      <c r="H16" s="5"/>
      <c r="I16" s="5"/>
      <c r="J16" s="5"/>
      <c r="K16" s="5"/>
      <c r="L16" s="5"/>
      <c r="M16" s="5"/>
      <c r="N16" s="5"/>
    </row>
    <row r="17" customFormat="false" ht="15" hidden="false" customHeight="false" outlineLevel="0" collapsed="false">
      <c r="A17" s="5"/>
      <c r="B17" s="55" t="s">
        <v>95</v>
      </c>
      <c r="C17" s="55"/>
      <c r="D17" s="55"/>
      <c r="E17" s="56" t="s">
        <v>96</v>
      </c>
      <c r="F17" s="57" t="s">
        <v>94</v>
      </c>
      <c r="G17" s="28" t="s">
        <v>97</v>
      </c>
      <c r="H17" s="27" t="s">
        <v>98</v>
      </c>
      <c r="I17" s="58" t="s">
        <v>99</v>
      </c>
      <c r="J17" s="5"/>
      <c r="K17" s="5"/>
      <c r="L17" s="5"/>
      <c r="M17" s="5"/>
      <c r="N17" s="5"/>
    </row>
    <row r="18" customFormat="false" ht="27.75" hidden="false" customHeight="true" outlineLevel="0" collapsed="false">
      <c r="A18" s="5"/>
      <c r="B18" s="59" t="s">
        <v>100</v>
      </c>
      <c r="C18" s="59"/>
      <c r="D18" s="59"/>
      <c r="E18" s="60" t="n">
        <v>-0.08</v>
      </c>
      <c r="F18" s="60" t="n">
        <v>0</v>
      </c>
      <c r="G18" s="60" t="n">
        <v>0.08</v>
      </c>
      <c r="H18" s="61" t="n">
        <v>-0.05</v>
      </c>
      <c r="I18" s="62" t="n">
        <f aca="false">INDEX(E18:H18,MATCH($D$15,$E$17:$H$17,0))</f>
        <v>0</v>
      </c>
      <c r="J18" s="5"/>
      <c r="K18" s="5"/>
      <c r="L18" s="5"/>
      <c r="M18" s="5"/>
      <c r="N18" s="5"/>
    </row>
    <row r="19" customFormat="false" ht="27.75" hidden="false" customHeight="true" outlineLevel="0" collapsed="false">
      <c r="A19" s="5"/>
      <c r="B19" s="59" t="s">
        <v>101</v>
      </c>
      <c r="C19" s="59"/>
      <c r="D19" s="59"/>
      <c r="E19" s="60" t="n">
        <v>-0.07</v>
      </c>
      <c r="F19" s="60" t="n">
        <v>0</v>
      </c>
      <c r="G19" s="60" t="n">
        <v>0.07</v>
      </c>
      <c r="H19" s="61" t="n">
        <v>0</v>
      </c>
      <c r="I19" s="62" t="n">
        <f aca="false">INDEX(E19:H19,MATCH($D$15,$E$17:$H$17,0))</f>
        <v>0</v>
      </c>
      <c r="J19" s="5"/>
      <c r="K19" s="5"/>
      <c r="L19" s="5"/>
      <c r="M19" s="5"/>
      <c r="N19" s="5"/>
    </row>
    <row r="20" customFormat="false" ht="27.75" hidden="false" customHeight="true" outlineLevel="0" collapsed="false">
      <c r="A20" s="5"/>
      <c r="B20" s="59" t="s">
        <v>102</v>
      </c>
      <c r="C20" s="59"/>
      <c r="D20" s="59"/>
      <c r="E20" s="60" t="n">
        <v>-0.005</v>
      </c>
      <c r="F20" s="60" t="n">
        <v>0</v>
      </c>
      <c r="G20" s="60" t="n">
        <v>0.005</v>
      </c>
      <c r="H20" s="61" t="n">
        <v>0</v>
      </c>
      <c r="I20" s="62" t="n">
        <f aca="false">INDEX(E20:H20,MATCH($D$15,$E$17:$H$17,0))</f>
        <v>0</v>
      </c>
      <c r="J20" s="5"/>
      <c r="K20" s="5"/>
      <c r="L20" s="5"/>
      <c r="M20" s="5"/>
      <c r="N20" s="5"/>
    </row>
    <row r="21" customFormat="false" ht="15" hidden="false" customHeight="false" outlineLevel="0" collapsed="false">
      <c r="A21" s="5"/>
      <c r="B21" s="5"/>
      <c r="C21" s="5"/>
      <c r="D21" s="5"/>
      <c r="E21" s="5"/>
      <c r="F21" s="5"/>
      <c r="G21" s="5"/>
      <c r="H21" s="5"/>
      <c r="I21" s="5"/>
      <c r="J21" s="5"/>
      <c r="K21" s="5"/>
      <c r="L21" s="5"/>
      <c r="M21" s="5"/>
      <c r="N21" s="5"/>
    </row>
    <row r="22" customFormat="false" ht="15" hidden="false" customHeight="false" outlineLevel="0" collapsed="false">
      <c r="A22" s="5"/>
      <c r="B22" s="55" t="s">
        <v>103</v>
      </c>
      <c r="C22" s="55"/>
      <c r="D22" s="55"/>
      <c r="E22" s="56" t="s">
        <v>96</v>
      </c>
      <c r="F22" s="57" t="s">
        <v>94</v>
      </c>
      <c r="G22" s="28" t="s">
        <v>97</v>
      </c>
      <c r="H22" s="27" t="s">
        <v>98</v>
      </c>
      <c r="I22" s="58" t="s">
        <v>99</v>
      </c>
      <c r="J22" s="63" t="s">
        <v>104</v>
      </c>
      <c r="K22" s="63" t="s">
        <v>105</v>
      </c>
      <c r="L22" s="5"/>
      <c r="M22" s="5"/>
      <c r="N22" s="5"/>
    </row>
    <row r="23" customFormat="false" ht="15" hidden="false" customHeight="false" outlineLevel="0" collapsed="false">
      <c r="A23" s="5"/>
      <c r="B23" s="64" t="s">
        <v>106</v>
      </c>
      <c r="C23" s="64"/>
      <c r="D23" s="64"/>
      <c r="E23" s="65" t="n">
        <f aca="false">'Scenario Calc'!C29</f>
        <v>36073.578788</v>
      </c>
      <c r="F23" s="65" t="n">
        <f aca="false">'Scenario Calc'!D29</f>
        <v>37313.452568</v>
      </c>
      <c r="G23" s="65" t="n">
        <f aca="false">'Scenario Calc'!E29</f>
        <v>38553.326348</v>
      </c>
      <c r="H23" s="65" t="n">
        <f aca="false">'Scenario Calc'!F29</f>
        <v>36907.806218</v>
      </c>
      <c r="I23" s="66" t="n">
        <f aca="false">'Scenario Calc'!G29</f>
        <v>37313.452568</v>
      </c>
      <c r="J23" s="5"/>
      <c r="K23" s="5"/>
      <c r="L23" s="5"/>
      <c r="M23" s="5"/>
      <c r="N23" s="5"/>
    </row>
    <row r="24" customFormat="false" ht="15" hidden="false" customHeight="false" outlineLevel="0" collapsed="false">
      <c r="A24" s="5"/>
      <c r="B24" s="64" t="s">
        <v>107</v>
      </c>
      <c r="C24" s="64"/>
      <c r="D24" s="64"/>
      <c r="E24" s="67" t="n">
        <f aca="false">'Scenario Calc'!C30</f>
        <v>0.0713863613899615</v>
      </c>
      <c r="F24" s="67" t="n">
        <f aca="false">'Scenario Calc'!D30</f>
        <v>0.10821064948025</v>
      </c>
      <c r="G24" s="67" t="n">
        <f aca="false">'Scenario Calc'!E30</f>
        <v>0.145034937570538</v>
      </c>
      <c r="H24" s="67" t="n">
        <f aca="false">'Scenario Calc'!F30</f>
        <v>0.0961629408375408</v>
      </c>
      <c r="I24" s="68" t="n">
        <f aca="false">'Scenario Calc'!G30</f>
        <v>0.10821064948025</v>
      </c>
      <c r="J24" s="69" t="n">
        <f aca="false">Inputs!$B$31</f>
        <v>0.1</v>
      </c>
      <c r="K24" s="69" t="n">
        <f aca="false">Inputs!$B$32</f>
        <v>0.13</v>
      </c>
      <c r="L24" s="5"/>
      <c r="M24" s="5"/>
      <c r="N24" s="5"/>
    </row>
    <row r="25" customFormat="false" ht="15" hidden="false" customHeight="false" outlineLevel="0" collapsed="false">
      <c r="A25" s="5"/>
      <c r="B25" s="64" t="s">
        <v>108</v>
      </c>
      <c r="C25" s="64"/>
      <c r="D25" s="64"/>
      <c r="E25" s="70" t="n">
        <f aca="false">'Scenario Calc'!C37</f>
        <v>6430.77923559106</v>
      </c>
      <c r="F25" s="70" t="n">
        <f aca="false">'Scenario Calc'!D37</f>
        <v>6785.406571</v>
      </c>
      <c r="G25" s="70" t="n">
        <f aca="false">'Scenario Calc'!E37</f>
        <v>7155.28450640894</v>
      </c>
      <c r="H25" s="70" t="n">
        <f aca="false">'Scenario Calc'!F37</f>
        <v>6714.02968277833</v>
      </c>
      <c r="I25" s="71" t="n">
        <f aca="false">'Scenario Calc'!G37</f>
        <v>6785.406571</v>
      </c>
      <c r="J25" s="5"/>
      <c r="K25" s="5"/>
      <c r="L25" s="5"/>
      <c r="M25" s="5"/>
      <c r="N25" s="5"/>
    </row>
    <row r="26" customFormat="false" ht="15" hidden="false" customHeight="false" outlineLevel="0" collapsed="false">
      <c r="A26" s="5"/>
      <c r="B26" s="64" t="s">
        <v>109</v>
      </c>
      <c r="C26" s="64"/>
      <c r="D26" s="64"/>
      <c r="E26" s="67" t="n">
        <f aca="false">'Scenario Calc'!C38</f>
        <v>0.178268401740342</v>
      </c>
      <c r="F26" s="67" t="n">
        <f aca="false">'Scenario Calc'!D38</f>
        <v>0.181848799937081</v>
      </c>
      <c r="G26" s="67" t="n">
        <f aca="false">'Scenario Calc'!E38</f>
        <v>0.18559447871818</v>
      </c>
      <c r="H26" s="67" t="n">
        <f aca="false">'Scenario Calc'!F38</f>
        <v>0.181913540000757</v>
      </c>
      <c r="I26" s="68" t="n">
        <f aca="false">'Scenario Calc'!G38</f>
        <v>0.181848799937081</v>
      </c>
      <c r="J26" s="69" t="n">
        <f aca="false">Inputs!$B$33</f>
        <v>0.18</v>
      </c>
      <c r="K26" s="69" t="n">
        <f aca="false">Inputs!$B$34</f>
        <v>0.185</v>
      </c>
      <c r="L26" s="5"/>
      <c r="M26" s="5"/>
      <c r="N26" s="5"/>
    </row>
    <row r="27" customFormat="false" ht="15" hidden="false" customHeight="false" outlineLevel="0" collapsed="false">
      <c r="A27" s="5"/>
      <c r="B27" s="64" t="s">
        <v>110</v>
      </c>
      <c r="C27" s="64"/>
      <c r="D27" s="64"/>
      <c r="E27" s="72" t="str">
        <f aca="false">IF(AND(E24&gt;=$J$24,E26&gt;=$J$26),"Yes","No")</f>
        <v>No</v>
      </c>
      <c r="F27" s="72" t="str">
        <f aca="false">IF(AND(F24&gt;=$J$24,F26&gt;=$J$26),"Yes","No")</f>
        <v>Yes</v>
      </c>
      <c r="G27" s="72" t="str">
        <f aca="false">IF(AND(G24&gt;=$J$24,G26&gt;=$J$26),"Yes","No")</f>
        <v>Yes</v>
      </c>
      <c r="H27" s="72" t="str">
        <f aca="false">IF(AND(H24&gt;=$J$24,H26&gt;=$J$26),"Yes","No")</f>
        <v>No</v>
      </c>
      <c r="I27" s="72" t="str">
        <f aca="false">IF(AND(I24&gt;=$J$24,I26&gt;=$J$26),"Yes","No")</f>
        <v>Yes</v>
      </c>
      <c r="J27" s="5"/>
      <c r="K27" s="5"/>
      <c r="L27" s="5"/>
      <c r="M27" s="5"/>
      <c r="N27" s="5"/>
    </row>
    <row r="28" customFormat="false" ht="15" hidden="false" customHeight="false" outlineLevel="0" collapsed="false">
      <c r="A28" s="5"/>
      <c r="B28" s="73" t="s">
        <v>111</v>
      </c>
      <c r="C28" s="73"/>
      <c r="D28" s="73"/>
      <c r="E28" s="73"/>
      <c r="F28" s="73"/>
      <c r="G28" s="73"/>
      <c r="H28" s="73"/>
      <c r="I28" s="73"/>
      <c r="J28" s="73"/>
      <c r="K28" s="73"/>
      <c r="L28" s="73"/>
      <c r="M28" s="73"/>
      <c r="N28" s="5"/>
    </row>
    <row r="29" customFormat="false" ht="15" hidden="false" customHeight="false" outlineLevel="0" collapsed="false">
      <c r="A29" s="5"/>
      <c r="B29" s="5"/>
      <c r="C29" s="5"/>
      <c r="D29" s="5"/>
      <c r="E29" s="5"/>
      <c r="F29" s="5"/>
      <c r="G29" s="5"/>
      <c r="H29" s="5"/>
      <c r="I29" s="5"/>
      <c r="J29" s="5"/>
      <c r="K29" s="5"/>
      <c r="L29" s="5"/>
      <c r="M29" s="5"/>
      <c r="N29" s="5"/>
    </row>
    <row r="30" customFormat="false" ht="21.75" hidden="false" customHeight="true" outlineLevel="0" collapsed="false">
      <c r="A30" s="5"/>
      <c r="B30" s="45" t="s">
        <v>112</v>
      </c>
      <c r="C30" s="1"/>
      <c r="D30" s="1"/>
      <c r="E30" s="1"/>
      <c r="F30" s="1"/>
      <c r="G30" s="1"/>
      <c r="H30" s="1"/>
      <c r="I30" s="1"/>
      <c r="J30" s="1"/>
      <c r="K30" s="1"/>
      <c r="L30" s="1"/>
      <c r="M30" s="1"/>
      <c r="N30" s="5"/>
    </row>
    <row r="31" customFormat="false" ht="15" hidden="false" customHeight="true" outlineLevel="0" collapsed="false">
      <c r="A31" s="5"/>
      <c r="B31" s="74" t="s">
        <v>113</v>
      </c>
      <c r="C31" s="74"/>
      <c r="D31" s="74" t="s">
        <v>114</v>
      </c>
      <c r="E31" s="74"/>
      <c r="F31" s="74"/>
      <c r="G31" s="74"/>
      <c r="H31" s="75" t="s">
        <v>115</v>
      </c>
      <c r="I31" s="75" t="s">
        <v>116</v>
      </c>
      <c r="J31" s="75" t="s">
        <v>117</v>
      </c>
      <c r="K31" s="75" t="s">
        <v>109</v>
      </c>
      <c r="L31" s="75" t="s">
        <v>118</v>
      </c>
      <c r="M31" s="75"/>
      <c r="N31" s="5"/>
    </row>
    <row r="32" customFormat="false" ht="25.5" hidden="false" customHeight="true" outlineLevel="0" collapsed="false">
      <c r="A32" s="5"/>
      <c r="B32" s="76" t="s">
        <v>43</v>
      </c>
      <c r="C32" s="76"/>
      <c r="D32" s="77" t="s">
        <v>119</v>
      </c>
      <c r="E32" s="77"/>
      <c r="F32" s="77"/>
      <c r="G32" s="77"/>
      <c r="H32" s="78" t="n">
        <f aca="false">Forecast!J10</f>
        <v>10875</v>
      </c>
      <c r="I32" s="78" t="n">
        <f aca="false">Forecast!I10</f>
        <v>11978.006</v>
      </c>
      <c r="J32" s="79" t="n">
        <f aca="false">Forecast!K10</f>
        <v>0.10142583908046</v>
      </c>
      <c r="K32" s="80" t="n">
        <f aca="false">Forecast!I20/Forecast!I10</f>
        <v>0.12883744723454</v>
      </c>
      <c r="L32" s="81" t="n">
        <f aca="false">Forecast!I20/SUM(Forecast!$I$20:$I$23)</f>
        <v>0.213434154891039</v>
      </c>
      <c r="M32" s="81"/>
      <c r="N32" s="5"/>
    </row>
    <row r="33" customFormat="false" ht="25.5" hidden="false" customHeight="true" outlineLevel="0" collapsed="false">
      <c r="A33" s="5"/>
      <c r="B33" s="82" t="s">
        <v>45</v>
      </c>
      <c r="C33" s="82"/>
      <c r="D33" s="83" t="s">
        <v>120</v>
      </c>
      <c r="E33" s="83"/>
      <c r="F33" s="83"/>
      <c r="G33" s="83"/>
      <c r="H33" s="84" t="n">
        <f aca="false">Forecast!J11</f>
        <v>10149</v>
      </c>
      <c r="I33" s="84" t="n">
        <f aca="false">Forecast!I11</f>
        <v>11129.99</v>
      </c>
      <c r="J33" s="85" t="n">
        <f aca="false">Forecast!K11</f>
        <v>0.0966587841166617</v>
      </c>
      <c r="K33" s="86" t="n">
        <f aca="false">Forecast!I21/Forecast!I11</f>
        <v>0.138955005799646</v>
      </c>
      <c r="L33" s="87" t="n">
        <f aca="false">Forecast!I21/SUM(Forecast!$I$20:$I$23)</f>
        <v>0.213897767686126</v>
      </c>
      <c r="M33" s="87"/>
      <c r="N33" s="5"/>
    </row>
    <row r="34" customFormat="false" ht="25.5" hidden="false" customHeight="true" outlineLevel="0" collapsed="false">
      <c r="A34" s="5"/>
      <c r="B34" s="88" t="s">
        <v>46</v>
      </c>
      <c r="C34" s="88"/>
      <c r="D34" s="89" t="s">
        <v>121</v>
      </c>
      <c r="E34" s="89"/>
      <c r="F34" s="89"/>
      <c r="G34" s="89"/>
      <c r="H34" s="90" t="n">
        <f aca="false">Forecast!J12</f>
        <v>12405</v>
      </c>
      <c r="I34" s="90" t="n">
        <f aca="false">Forecast!I12</f>
        <v>13740.67</v>
      </c>
      <c r="J34" s="91" t="n">
        <f aca="false">Forecast!K12</f>
        <v>0.107671906489319</v>
      </c>
      <c r="K34" s="92" t="n">
        <f aca="false">Forecast!I22/Forecast!I12</f>
        <v>0.138968123825112</v>
      </c>
      <c r="L34" s="93" t="n">
        <f aca="false">Forecast!I22/SUM(Forecast!$I$20:$I$23)</f>
        <v>0.264095125391532</v>
      </c>
      <c r="M34" s="93"/>
      <c r="N34" s="5"/>
    </row>
    <row r="35" customFormat="false" ht="25.5" hidden="false" customHeight="true" outlineLevel="0" collapsed="false">
      <c r="A35" s="5"/>
      <c r="B35" s="94" t="s">
        <v>47</v>
      </c>
      <c r="C35" s="94"/>
      <c r="D35" s="95" t="s">
        <v>122</v>
      </c>
      <c r="E35" s="95"/>
      <c r="F35" s="95"/>
      <c r="G35" s="95"/>
      <c r="H35" s="96" t="n">
        <f aca="false">Forecast!J13</f>
        <v>7463</v>
      </c>
      <c r="I35" s="96" t="n">
        <f aca="false">Forecast!I13</f>
        <v>8784.63</v>
      </c>
      <c r="J35" s="97" t="n">
        <f aca="false">Forecast!K13</f>
        <v>0.177090982178748</v>
      </c>
      <c r="K35" s="98" t="n">
        <f aca="false">Forecast!I23/Forecast!I13</f>
        <v>0.253978585324595</v>
      </c>
      <c r="L35" s="99" t="n">
        <f aca="false">Forecast!I23/SUM(Forecast!$I$20:$I$23)</f>
        <v>0.308572952031303</v>
      </c>
      <c r="M35" s="99"/>
      <c r="N35" s="5"/>
    </row>
    <row r="36" customFormat="false" ht="25.5" hidden="false" customHeight="true" outlineLevel="0" collapsed="false">
      <c r="A36" s="5"/>
      <c r="B36" s="100" t="s">
        <v>48</v>
      </c>
      <c r="C36" s="100"/>
      <c r="D36" s="101" t="s">
        <v>123</v>
      </c>
      <c r="E36" s="101"/>
      <c r="F36" s="101"/>
      <c r="G36" s="101"/>
      <c r="H36" s="102" t="n">
        <f aca="false">Forecast!J14</f>
        <v>460</v>
      </c>
      <c r="I36" s="102" t="n">
        <f aca="false">Forecast!I14</f>
        <v>376.84</v>
      </c>
      <c r="J36" s="103" t="n">
        <f aca="false">Forecast!K14</f>
        <v>-0.180782608695652</v>
      </c>
      <c r="K36" s="104" t="s">
        <v>124</v>
      </c>
      <c r="L36" s="105" t="str">
        <f aca="false">"Adj. loss "&amp;TEXT(-(Forecast!I24+Forecast!I28),"$#,##0")&amp;"M"</f>
        <v>Adj. loss $277M</v>
      </c>
      <c r="M36" s="105"/>
      <c r="N36" s="5"/>
    </row>
    <row r="37" customFormat="false" ht="15" hidden="false" customHeight="false" outlineLevel="0" collapsed="false">
      <c r="A37" s="5"/>
      <c r="B37" s="73" t="s">
        <v>125</v>
      </c>
      <c r="C37" s="73"/>
      <c r="D37" s="73"/>
      <c r="E37" s="73"/>
      <c r="F37" s="73"/>
      <c r="G37" s="73"/>
      <c r="H37" s="73"/>
      <c r="I37" s="73"/>
      <c r="J37" s="73"/>
      <c r="K37" s="73"/>
      <c r="L37" s="73"/>
      <c r="M37" s="73"/>
      <c r="N37" s="5"/>
    </row>
    <row r="38" customFormat="false" ht="15" hidden="false" customHeight="false" outlineLevel="0" collapsed="false">
      <c r="A38" s="5"/>
      <c r="B38" s="5"/>
      <c r="C38" s="5"/>
      <c r="D38" s="5"/>
      <c r="E38" s="5"/>
      <c r="F38" s="5"/>
      <c r="G38" s="5"/>
      <c r="H38" s="5"/>
      <c r="I38" s="5"/>
      <c r="J38" s="5"/>
      <c r="K38" s="5"/>
      <c r="L38" s="5"/>
      <c r="M38" s="5"/>
      <c r="N38" s="5"/>
    </row>
    <row r="39" customFormat="false" ht="21.75" hidden="false" customHeight="true" outlineLevel="0" collapsed="false">
      <c r="A39" s="5"/>
      <c r="B39" s="45" t="s">
        <v>126</v>
      </c>
      <c r="C39" s="1"/>
      <c r="D39" s="1"/>
      <c r="E39" s="1"/>
      <c r="F39" s="1"/>
      <c r="G39" s="1"/>
      <c r="H39" s="1"/>
      <c r="I39" s="1"/>
      <c r="J39" s="1"/>
      <c r="K39" s="1"/>
      <c r="L39" s="1"/>
      <c r="M39" s="1"/>
      <c r="N39" s="5"/>
    </row>
  </sheetData>
  <mergeCells count="54">
    <mergeCell ref="B1:M1"/>
    <mergeCell ref="B2:M2"/>
    <mergeCell ref="B5:D5"/>
    <mergeCell ref="E5:G5"/>
    <mergeCell ref="H5:J5"/>
    <mergeCell ref="K5:M5"/>
    <mergeCell ref="B6:D7"/>
    <mergeCell ref="E6:G7"/>
    <mergeCell ref="H6:J7"/>
    <mergeCell ref="K6:M7"/>
    <mergeCell ref="B8:D8"/>
    <mergeCell ref="E8:G8"/>
    <mergeCell ref="H8:J8"/>
    <mergeCell ref="K8:M8"/>
    <mergeCell ref="B11:D11"/>
    <mergeCell ref="E11:G11"/>
    <mergeCell ref="H11:J11"/>
    <mergeCell ref="K11:M12"/>
    <mergeCell ref="B12:D12"/>
    <mergeCell ref="E12:G12"/>
    <mergeCell ref="H12:J12"/>
    <mergeCell ref="B15:C15"/>
    <mergeCell ref="D15:E15"/>
    <mergeCell ref="F15:M15"/>
    <mergeCell ref="B17:D17"/>
    <mergeCell ref="B18:D18"/>
    <mergeCell ref="B19:D19"/>
    <mergeCell ref="B20:D20"/>
    <mergeCell ref="B22:D22"/>
    <mergeCell ref="B23:D23"/>
    <mergeCell ref="B24:D24"/>
    <mergeCell ref="B25:D25"/>
    <mergeCell ref="B26:D26"/>
    <mergeCell ref="B27:D27"/>
    <mergeCell ref="B28:M28"/>
    <mergeCell ref="B31:C31"/>
    <mergeCell ref="D31:G31"/>
    <mergeCell ref="L31:M31"/>
    <mergeCell ref="B32:C32"/>
    <mergeCell ref="D32:G32"/>
    <mergeCell ref="L32:M32"/>
    <mergeCell ref="B33:C33"/>
    <mergeCell ref="D33:G33"/>
    <mergeCell ref="L33:M33"/>
    <mergeCell ref="B34:C34"/>
    <mergeCell ref="D34:G34"/>
    <mergeCell ref="L34:M34"/>
    <mergeCell ref="B35:C35"/>
    <mergeCell ref="D35:G35"/>
    <mergeCell ref="L35:M35"/>
    <mergeCell ref="B36:C36"/>
    <mergeCell ref="D36:G36"/>
    <mergeCell ref="L36:M36"/>
    <mergeCell ref="B37:M37"/>
  </mergeCells>
  <conditionalFormatting sqref="K6:M7">
    <cfRule type="expression" priority="2" aboveAverage="0" equalAverage="0" bottom="0" percent="0" rank="0" text="" dxfId="0">
      <formula>$K$6="Yes"</formula>
    </cfRule>
    <cfRule type="expression" priority="3" aboveAverage="0" equalAverage="0" bottom="0" percent="0" rank="0" text="" dxfId="1">
      <formula>$K$6&lt;&gt;"Yes"</formula>
    </cfRule>
  </conditionalFormatting>
  <conditionalFormatting sqref="K11:M12">
    <cfRule type="expression" priority="4" aboveAverage="0" equalAverage="0" bottom="0" percent="0" rank="0" text="" dxfId="2">
      <formula>ISNUMBER(SEARCH("BEAT",$K$11))</formula>
    </cfRule>
    <cfRule type="expression" priority="5" aboveAverage="0" equalAverage="0" bottom="0" percent="0" rank="0" text="" dxfId="3">
      <formula>ISNUMBER(SEARCH("MISSED",$K$11))</formula>
    </cfRule>
    <cfRule type="expression" priority="6" aboveAverage="0" equalAverage="0" bottom="0" percent="0" rank="0" text="" dxfId="4">
      <formula>ISNUMBER(SEARCH("Waiting",$K$11))</formula>
    </cfRule>
  </conditionalFormatting>
  <conditionalFormatting sqref="E24:I24">
    <cfRule type="expression" priority="7" aboveAverage="0" equalAverage="0" bottom="0" percent="0" rank="0" text="" dxfId="2">
      <formula>E24&gt;=$J$24</formula>
    </cfRule>
    <cfRule type="expression" priority="8" aboveAverage="0" equalAverage="0" bottom="0" percent="0" rank="0" text="" dxfId="3">
      <formula>E24&lt;$J$24</formula>
    </cfRule>
  </conditionalFormatting>
  <conditionalFormatting sqref="E26:I26">
    <cfRule type="expression" priority="9" aboveAverage="0" equalAverage="0" bottom="0" percent="0" rank="0" text="" dxfId="2">
      <formula>E26&gt;=$J$26</formula>
    </cfRule>
    <cfRule type="expression" priority="10" aboveAverage="0" equalAverage="0" bottom="0" percent="0" rank="0" text="" dxfId="3">
      <formula>E26&lt;$J$26</formula>
    </cfRule>
  </conditionalFormatting>
  <conditionalFormatting sqref="E27:I27">
    <cfRule type="cellIs" priority="11" operator="equal" aboveAverage="0" equalAverage="0" bottom="0" percent="0" rank="0" text="" dxfId="2">
      <formula>"Yes"</formula>
    </cfRule>
    <cfRule type="cellIs" priority="12" operator="equal" aboveAverage="0" equalAverage="0" bottom="0" percent="0" rank="0" text="" dxfId="3">
      <formula>"No"</formula>
    </cfRule>
  </conditionalFormatting>
  <conditionalFormatting sqref="J32:J35">
    <cfRule type="dataBar" priority="13">
      <dataBar showValue="1" minLength="10" maxLength="90">
        <cfvo type="num" val="0"/>
        <cfvo type="max" val="0"/>
        <color rgb="FF70AD47"/>
      </dataBar>
      <extLst>
        <ext xmlns:x14="http://schemas.microsoft.com/office/spreadsheetml/2009/9/main" uri="{B025F937-C7B1-47D3-B67F-A62EFF666E3E}">
          <x14:id>{A2FC9028-52CE-44F6-9918-6DB0C1CBF519}</x14:id>
        </ext>
      </extLst>
    </cfRule>
  </conditionalFormatting>
  <conditionalFormatting sqref="L32:L35">
    <cfRule type="dataBar" priority="14">
      <dataBar showValue="1" minLength="10" maxLength="90">
        <cfvo type="num" val="0"/>
        <cfvo type="num" val="1"/>
        <color rgb="FF5B9BD5"/>
      </dataBar>
      <extLst>
        <ext xmlns:x14="http://schemas.microsoft.com/office/spreadsheetml/2009/9/main" uri="{B025F937-C7B1-47D3-B67F-A62EFF666E3E}">
          <x14:id>{64F920E2-10C0-4FC4-98BF-474E154C7DD6}</x14:id>
        </ext>
      </extLst>
    </cfRule>
  </conditionalFormatting>
  <dataValidations count="2">
    <dataValidation allowBlank="false" errorStyle="stop" operator="between" prompt="Bear = demand weaker, Base = locked budget, Bull = demand stronger, Custom = your own numbers" promptTitle="Pick a scenario" showDropDown="false" showErrorMessage="false" showInputMessage="true" sqref="D15" type="list">
      <formula1>"Bear,Base,Bull,Custom"</formula1>
      <formula2>0</formula2>
    </dataValidation>
    <dataValidation allowBlank="false" errorStyle="stop" operator="between" prompt="Type a change in percentage points, e.g. -5% or +3%" promptTitle="Your own change" showDropDown="false" showErrorMessage="false" showInputMessage="true" sqref="H18:H20" type="decimal">
      <formula1>-0.5</formula1>
      <formula2>0.5</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2FC9028-52CE-44F6-9918-6DB0C1CBF519}">
            <x14:dataBar minLength="10" maxLength="90" axisPosition="none" gradient="true">
              <x14:cfvo type="num">
                <xm:f>0</xm:f>
              </x14:cfvo>
              <x14:cfvo type="max"/>
              <x14:negativeFillColor rgb="FF70AD47"/>
              <x14:axisColor rgb="FF000000"/>
            </x14:dataBar>
          </x14:cfRule>
          <xm:sqref>J32:J35</xm:sqref>
        </x14:conditionalFormatting>
        <x14:conditionalFormatting xmlns:xm="http://schemas.microsoft.com/office/excel/2006/main">
          <x14:cfRule type="dataBar" id="{64F920E2-10C0-4FC4-98BF-474E154C7DD6}">
            <x14:dataBar minLength="10" maxLength="90" axisPosition="none" gradient="true">
              <x14:cfvo type="num">
                <xm:f>0</xm:f>
              </x14:cfvo>
              <x14:cfvo type="num">
                <xm:f>1</xm:f>
              </x14:cfvo>
              <x14:negativeFillColor rgb="FF5B9BD5"/>
              <x14:axisColor rgb="FF000000"/>
            </x14:dataBar>
          </x14:cfRule>
          <xm:sqref>L32:L35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1C232"/>
    <pageSetUpPr fitToPage="true"/>
  </sheetPr>
  <dimension ref="A1:D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1"/>
    <col collapsed="false" customWidth="true" hidden="false" outlineLevel="0" max="4" min="4" style="0" width="95"/>
  </cols>
  <sheetData>
    <row r="1" customFormat="false" ht="17.35" hidden="false" customHeight="false" outlineLevel="0" collapsed="false">
      <c r="A1" s="106" t="s">
        <v>127</v>
      </c>
      <c r="B1" s="5"/>
      <c r="C1" s="5"/>
      <c r="D1" s="5"/>
    </row>
    <row r="2" customFormat="false" ht="15" hidden="false" customHeight="false" outlineLevel="0" collapsed="false">
      <c r="A2" s="107" t="s">
        <v>128</v>
      </c>
      <c r="B2" s="5"/>
      <c r="C2" s="5"/>
      <c r="D2" s="5"/>
    </row>
    <row r="3" customFormat="false" ht="15" hidden="false" customHeight="false" outlineLevel="0" collapsed="false">
      <c r="A3" s="11" t="str">
        <f aca="false">HYPERLINK("#'Dashboard'!A1","← Back to Dashboard")</f>
        <v>← Back to Dashboard</v>
      </c>
      <c r="B3" s="5"/>
      <c r="C3" s="5"/>
      <c r="D3" s="5"/>
    </row>
    <row r="4" customFormat="false" ht="15" hidden="false" customHeight="false" outlineLevel="0" collapsed="false">
      <c r="A4" s="108" t="s">
        <v>129</v>
      </c>
      <c r="B4" s="109" t="s">
        <v>130</v>
      </c>
      <c r="C4" s="109" t="s">
        <v>131</v>
      </c>
      <c r="D4" s="109" t="s">
        <v>132</v>
      </c>
    </row>
    <row r="5" customFormat="false" ht="15" hidden="false" customHeight="false" outlineLevel="0" collapsed="false">
      <c r="A5" s="110" t="s">
        <v>43</v>
      </c>
      <c r="B5" s="3"/>
      <c r="C5" s="3"/>
      <c r="D5" s="3"/>
    </row>
    <row r="6" customFormat="false" ht="35.05" hidden="false" customHeight="false" outlineLevel="0" collapsed="false">
      <c r="A6" s="16" t="s">
        <v>133</v>
      </c>
      <c r="B6" s="111" t="n">
        <v>0.12</v>
      </c>
      <c r="C6" s="111" t="n">
        <v>0.19</v>
      </c>
      <c r="D6" s="10" t="s">
        <v>134</v>
      </c>
    </row>
    <row r="7" customFormat="false" ht="15" hidden="false" customHeight="false" outlineLevel="0" collapsed="false">
      <c r="A7" s="16" t="s">
        <v>135</v>
      </c>
      <c r="B7" s="111" t="n">
        <v>0.035</v>
      </c>
      <c r="C7" s="111" t="n">
        <v>0.035</v>
      </c>
      <c r="D7" s="10" t="s">
        <v>136</v>
      </c>
    </row>
    <row r="8" customFormat="false" ht="23.85" hidden="false" customHeight="false" outlineLevel="0" collapsed="false">
      <c r="A8" s="16" t="s">
        <v>137</v>
      </c>
      <c r="B8" s="111" t="n">
        <v>0.136</v>
      </c>
      <c r="C8" s="111" t="n">
        <v>0.146</v>
      </c>
      <c r="D8" s="10" t="s">
        <v>138</v>
      </c>
    </row>
    <row r="9" customFormat="false" ht="15" hidden="false" customHeight="false" outlineLevel="0" collapsed="false">
      <c r="A9" s="112" t="s">
        <v>45</v>
      </c>
      <c r="B9" s="113"/>
      <c r="C9" s="113"/>
      <c r="D9" s="113"/>
    </row>
    <row r="10" customFormat="false" ht="23.85" hidden="false" customHeight="false" outlineLevel="0" collapsed="false">
      <c r="A10" s="16" t="s">
        <v>139</v>
      </c>
      <c r="B10" s="111" t="n">
        <v>0.16</v>
      </c>
      <c r="C10" s="111" t="n">
        <v>0.23</v>
      </c>
      <c r="D10" s="10" t="s">
        <v>140</v>
      </c>
    </row>
    <row r="11" customFormat="false" ht="15" hidden="false" customHeight="false" outlineLevel="0" collapsed="false">
      <c r="A11" s="16" t="s">
        <v>141</v>
      </c>
      <c r="B11" s="111" t="n">
        <v>0.1425</v>
      </c>
      <c r="C11" s="111" t="n">
        <v>0.1475</v>
      </c>
      <c r="D11" s="10" t="s">
        <v>142</v>
      </c>
    </row>
    <row r="12" customFormat="false" ht="15" hidden="false" customHeight="false" outlineLevel="0" collapsed="false">
      <c r="A12" s="114" t="s">
        <v>46</v>
      </c>
      <c r="B12" s="115"/>
      <c r="C12" s="115"/>
      <c r="D12" s="115"/>
    </row>
    <row r="13" customFormat="false" ht="23.85" hidden="false" customHeight="false" outlineLevel="0" collapsed="false">
      <c r="A13" s="16" t="s">
        <v>143</v>
      </c>
      <c r="B13" s="111" t="n">
        <v>0.11</v>
      </c>
      <c r="C13" s="111" t="n">
        <v>0.15</v>
      </c>
      <c r="D13" s="10" t="s">
        <v>144</v>
      </c>
    </row>
    <row r="14" customFormat="false" ht="23.85" hidden="false" customHeight="false" outlineLevel="0" collapsed="false">
      <c r="A14" s="16" t="s">
        <v>145</v>
      </c>
      <c r="B14" s="111" t="n">
        <v>0.139</v>
      </c>
      <c r="C14" s="111" t="n">
        <v>0.139</v>
      </c>
      <c r="D14" s="10" t="s">
        <v>146</v>
      </c>
    </row>
    <row r="15" customFormat="false" ht="15" hidden="false" customHeight="false" outlineLevel="0" collapsed="false">
      <c r="A15" s="116" t="s">
        <v>47</v>
      </c>
      <c r="B15" s="51"/>
      <c r="C15" s="51"/>
      <c r="D15" s="51"/>
    </row>
    <row r="16" customFormat="false" ht="23.85" hidden="false" customHeight="false" outlineLevel="0" collapsed="false">
      <c r="A16" s="16" t="s">
        <v>147</v>
      </c>
      <c r="B16" s="111" t="n">
        <v>0.18</v>
      </c>
      <c r="C16" s="111" t="n">
        <v>0.15</v>
      </c>
      <c r="D16" s="10" t="s">
        <v>148</v>
      </c>
    </row>
    <row r="17" customFormat="false" ht="23.85" hidden="false" customHeight="false" outlineLevel="0" collapsed="false">
      <c r="A17" s="16" t="s">
        <v>149</v>
      </c>
      <c r="B17" s="111" t="n">
        <v>0.24</v>
      </c>
      <c r="C17" s="111" t="n">
        <v>0.242</v>
      </c>
      <c r="D17" s="10" t="s">
        <v>150</v>
      </c>
    </row>
    <row r="18" customFormat="false" ht="15" hidden="false" customHeight="false" outlineLevel="0" collapsed="false">
      <c r="A18" s="117" t="s">
        <v>151</v>
      </c>
      <c r="B18" s="118"/>
      <c r="C18" s="118"/>
      <c r="D18" s="118"/>
    </row>
    <row r="19" customFormat="false" ht="23.85" hidden="false" customHeight="false" outlineLevel="0" collapsed="false">
      <c r="A19" s="16" t="s">
        <v>152</v>
      </c>
      <c r="B19" s="111" t="n">
        <v>-0.46</v>
      </c>
      <c r="C19" s="111" t="n">
        <v>-0.5</v>
      </c>
      <c r="D19" s="10" t="s">
        <v>153</v>
      </c>
    </row>
    <row r="20" customFormat="false" ht="15" hidden="false" customHeight="false" outlineLevel="0" collapsed="false">
      <c r="A20" s="16" t="s">
        <v>154</v>
      </c>
      <c r="B20" s="119" t="n">
        <v>-65</v>
      </c>
      <c r="C20" s="119" t="n">
        <v>-65</v>
      </c>
      <c r="D20" s="10" t="s">
        <v>155</v>
      </c>
    </row>
    <row r="21" customFormat="false" ht="15" hidden="false" customHeight="false" outlineLevel="0" collapsed="false">
      <c r="A21" s="16" t="s">
        <v>156</v>
      </c>
      <c r="B21" s="111" t="n">
        <v>0.187</v>
      </c>
      <c r="C21" s="111" t="n">
        <v>0.187</v>
      </c>
      <c r="D21" s="10" t="s">
        <v>157</v>
      </c>
    </row>
    <row r="22" customFormat="false" ht="23.85" hidden="false" customHeight="false" outlineLevel="0" collapsed="false">
      <c r="A22" s="16" t="s">
        <v>158</v>
      </c>
      <c r="B22" s="119" t="n">
        <v>-25</v>
      </c>
      <c r="C22" s="119" t="n">
        <v>-25</v>
      </c>
      <c r="D22" s="10" t="s">
        <v>159</v>
      </c>
    </row>
    <row r="23" customFormat="false" ht="15" hidden="false" customHeight="false" outlineLevel="0" collapsed="false">
      <c r="A23" s="120" t="s">
        <v>160</v>
      </c>
      <c r="B23" s="121"/>
      <c r="C23" s="121"/>
      <c r="D23" s="121"/>
    </row>
    <row r="24" customFormat="false" ht="15" hidden="false" customHeight="false" outlineLevel="0" collapsed="false">
      <c r="A24" s="16" t="s">
        <v>161</v>
      </c>
      <c r="B24" s="119" t="n">
        <v>285</v>
      </c>
      <c r="C24" s="119" t="n">
        <v>290</v>
      </c>
      <c r="D24" s="10" t="s">
        <v>162</v>
      </c>
    </row>
    <row r="25" customFormat="false" ht="15" hidden="false" customHeight="false" outlineLevel="0" collapsed="false">
      <c r="A25" s="16" t="s">
        <v>163</v>
      </c>
      <c r="B25" s="119" t="n">
        <v>80</v>
      </c>
      <c r="C25" s="119" t="n">
        <v>80</v>
      </c>
      <c r="D25" s="10" t="s">
        <v>164</v>
      </c>
    </row>
    <row r="26" customFormat="false" ht="15" hidden="false" customHeight="false" outlineLevel="0" collapsed="false">
      <c r="A26" s="16" t="s">
        <v>165</v>
      </c>
      <c r="B26" s="111" t="n">
        <v>0.23</v>
      </c>
      <c r="C26" s="111" t="n">
        <v>0.23</v>
      </c>
      <c r="D26" s="10" t="s">
        <v>166</v>
      </c>
    </row>
    <row r="27" customFormat="false" ht="15" hidden="false" customHeight="false" outlineLevel="0" collapsed="false">
      <c r="A27" s="16" t="s">
        <v>167</v>
      </c>
      <c r="B27" s="119" t="n">
        <v>32</v>
      </c>
      <c r="C27" s="119" t="n">
        <v>32</v>
      </c>
      <c r="D27" s="10" t="s">
        <v>168</v>
      </c>
    </row>
    <row r="28" customFormat="false" ht="15" hidden="false" customHeight="false" outlineLevel="0" collapsed="false">
      <c r="A28" s="16" t="s">
        <v>169</v>
      </c>
      <c r="B28" s="122" t="n">
        <v>138.5</v>
      </c>
      <c r="C28" s="122" t="n">
        <v>138.5</v>
      </c>
      <c r="D28" s="10" t="s">
        <v>170</v>
      </c>
    </row>
    <row r="29" customFormat="false" ht="15" hidden="false" customHeight="false" outlineLevel="0" collapsed="false">
      <c r="A29" s="5"/>
      <c r="B29" s="5"/>
      <c r="C29" s="5"/>
      <c r="D29" s="5"/>
    </row>
    <row r="30" customFormat="false" ht="15" hidden="false" customHeight="false" outlineLevel="0" collapsed="false">
      <c r="A30" s="9" t="s">
        <v>171</v>
      </c>
      <c r="B30" s="5"/>
      <c r="C30" s="5"/>
      <c r="D30" s="5"/>
    </row>
    <row r="31" customFormat="false" ht="15" hidden="false" customHeight="false" outlineLevel="0" collapsed="false">
      <c r="A31" s="16" t="s">
        <v>172</v>
      </c>
      <c r="B31" s="111" t="n">
        <v>0.1</v>
      </c>
      <c r="C31" s="5"/>
      <c r="D31" s="25" t="s">
        <v>173</v>
      </c>
    </row>
    <row r="32" customFormat="false" ht="15" hidden="false" customHeight="false" outlineLevel="0" collapsed="false">
      <c r="A32" s="16" t="s">
        <v>174</v>
      </c>
      <c r="B32" s="111" t="n">
        <v>0.13</v>
      </c>
      <c r="C32" s="5"/>
      <c r="D32" s="25"/>
    </row>
    <row r="33" customFormat="false" ht="15" hidden="false" customHeight="false" outlineLevel="0" collapsed="false">
      <c r="A33" s="16" t="s">
        <v>175</v>
      </c>
      <c r="B33" s="111" t="n">
        <v>0.18</v>
      </c>
      <c r="C33" s="5"/>
      <c r="D33" s="25" t="s">
        <v>176</v>
      </c>
    </row>
    <row r="34" customFormat="false" ht="15" hidden="false" customHeight="false" outlineLevel="0" collapsed="false">
      <c r="A34" s="16" t="s">
        <v>177</v>
      </c>
      <c r="B34" s="111" t="n">
        <v>0.185</v>
      </c>
      <c r="C34" s="5"/>
      <c r="D34" s="25"/>
    </row>
    <row r="35" customFormat="false" ht="15" hidden="false" customHeight="false" outlineLevel="0" collapsed="false">
      <c r="A35" s="25" t="s">
        <v>178</v>
      </c>
      <c r="B35" s="5"/>
      <c r="C35" s="5"/>
      <c r="D35" s="5"/>
    </row>
    <row r="36" customFormat="false" ht="15" hidden="false" customHeight="false" outlineLevel="0" collapsed="false">
      <c r="A36" s="5"/>
      <c r="B36" s="5"/>
      <c r="C36" s="5"/>
      <c r="D36" s="5"/>
    </row>
    <row r="37" customFormat="false" ht="15" hidden="false" customHeight="false" outlineLevel="0" collapsed="false">
      <c r="A37" s="9" t="s">
        <v>179</v>
      </c>
      <c r="B37" s="5"/>
      <c r="C37" s="5"/>
      <c r="D37" s="5"/>
    </row>
    <row r="38" customFormat="false" ht="15" hidden="false" customHeight="false" outlineLevel="0" collapsed="false">
      <c r="A38" s="108" t="s">
        <v>60</v>
      </c>
      <c r="B38" s="109" t="s">
        <v>180</v>
      </c>
      <c r="C38" s="109" t="s">
        <v>181</v>
      </c>
      <c r="D38" s="109" t="s">
        <v>182</v>
      </c>
    </row>
    <row r="39" customFormat="false" ht="15" hidden="false" customHeight="false" outlineLevel="0" collapsed="false">
      <c r="A39" s="16" t="s">
        <v>183</v>
      </c>
      <c r="B39" s="111" t="n">
        <v>0.09</v>
      </c>
      <c r="C39" s="111" t="n">
        <v>0.14</v>
      </c>
      <c r="D39" s="25" t="s">
        <v>184</v>
      </c>
    </row>
    <row r="40" customFormat="false" ht="15" hidden="false" customHeight="false" outlineLevel="0" collapsed="false">
      <c r="A40" s="16" t="s">
        <v>137</v>
      </c>
      <c r="B40" s="111" t="n">
        <v>0.125</v>
      </c>
      <c r="C40" s="111" t="n">
        <v>0.1325</v>
      </c>
      <c r="D40" s="25" t="s">
        <v>185</v>
      </c>
    </row>
    <row r="41" customFormat="false" ht="15" hidden="false" customHeight="false" outlineLevel="0" collapsed="false">
      <c r="A41" s="16" t="s">
        <v>186</v>
      </c>
      <c r="B41" s="111" t="n">
        <v>0.08</v>
      </c>
      <c r="C41" s="111" t="n">
        <v>0.13</v>
      </c>
      <c r="D41" s="25" t="s">
        <v>184</v>
      </c>
    </row>
    <row r="42" customFormat="false" ht="15" hidden="false" customHeight="false" outlineLevel="0" collapsed="false">
      <c r="A42" s="16" t="s">
        <v>141</v>
      </c>
      <c r="B42" s="111" t="n">
        <v>0.135</v>
      </c>
      <c r="C42" s="111" t="n">
        <v>0.1425</v>
      </c>
      <c r="D42" s="25" t="s">
        <v>185</v>
      </c>
    </row>
    <row r="43" customFormat="false" ht="15" hidden="false" customHeight="false" outlineLevel="0" collapsed="false">
      <c r="A43" s="16" t="s">
        <v>187</v>
      </c>
      <c r="B43" s="111" t="n">
        <v>0.09</v>
      </c>
      <c r="C43" s="111" t="n">
        <v>0.14</v>
      </c>
      <c r="D43" s="25" t="s">
        <v>184</v>
      </c>
    </row>
    <row r="44" customFormat="false" ht="15" hidden="false" customHeight="false" outlineLevel="0" collapsed="false">
      <c r="A44" s="16" t="s">
        <v>145</v>
      </c>
      <c r="B44" s="111" t="n">
        <v>0.135</v>
      </c>
      <c r="C44" s="111" t="n">
        <v>0.1425</v>
      </c>
      <c r="D44" s="25" t="s">
        <v>185</v>
      </c>
    </row>
    <row r="45" customFormat="false" ht="15" hidden="false" customHeight="false" outlineLevel="0" collapsed="false">
      <c r="A45" s="16" t="s">
        <v>188</v>
      </c>
      <c r="B45" s="111" t="n">
        <v>0.14</v>
      </c>
      <c r="C45" s="111" t="n">
        <v>0.19</v>
      </c>
      <c r="D45" s="25" t="s">
        <v>184</v>
      </c>
    </row>
    <row r="46" customFormat="false" ht="15" hidden="false" customHeight="false" outlineLevel="0" collapsed="false">
      <c r="A46" s="16" t="s">
        <v>149</v>
      </c>
      <c r="B46" s="111" t="n">
        <v>0.25</v>
      </c>
      <c r="C46" s="111" t="n">
        <v>0.2575</v>
      </c>
      <c r="D46" s="25" t="s">
        <v>185</v>
      </c>
    </row>
    <row r="47" customFormat="false" ht="15" hidden="false" customHeight="false" outlineLevel="0" collapsed="false">
      <c r="A47" s="16" t="s">
        <v>189</v>
      </c>
      <c r="B47" s="119" t="n">
        <v>350</v>
      </c>
      <c r="C47" s="119" t="n">
        <v>400</v>
      </c>
      <c r="D47" s="5"/>
    </row>
    <row r="48" customFormat="false" ht="15" hidden="false" customHeight="false" outlineLevel="0" collapsed="false">
      <c r="A48" s="16" t="s">
        <v>190</v>
      </c>
      <c r="B48" s="119" t="n">
        <v>260</v>
      </c>
      <c r="C48" s="119" t="n">
        <v>290</v>
      </c>
      <c r="D48" s="5"/>
    </row>
    <row r="49" customFormat="false" ht="15" hidden="false" customHeight="false" outlineLevel="0" collapsed="false">
      <c r="A49" s="25" t="s">
        <v>191</v>
      </c>
      <c r="B49" s="5"/>
      <c r="C49" s="5"/>
      <c r="D49" s="5"/>
    </row>
    <row r="50" customFormat="false" ht="15" hidden="false" customHeight="false" outlineLevel="0" collapsed="false">
      <c r="A50" s="5"/>
      <c r="B50" s="5"/>
      <c r="C50" s="5"/>
      <c r="D50" s="5"/>
    </row>
    <row r="51" customFormat="false" ht="15" hidden="false" customHeight="false" outlineLevel="0" collapsed="false">
      <c r="A51" s="9" t="s">
        <v>192</v>
      </c>
      <c r="B51" s="5"/>
      <c r="C51" s="5"/>
      <c r="D51" s="5"/>
    </row>
    <row r="52" customFormat="false" ht="15" hidden="false" customHeight="false" outlineLevel="0" collapsed="false">
      <c r="A52" s="108" t="s">
        <v>193</v>
      </c>
      <c r="B52" s="109" t="s">
        <v>194</v>
      </c>
      <c r="C52" s="109" t="s">
        <v>195</v>
      </c>
      <c r="D52" s="109" t="s">
        <v>196</v>
      </c>
    </row>
    <row r="53" customFormat="false" ht="15" hidden="false" customHeight="false" outlineLevel="0" collapsed="false">
      <c r="A53" s="16" t="s">
        <v>197</v>
      </c>
      <c r="B53" s="119" t="n">
        <v>9840</v>
      </c>
      <c r="C53" s="123" t="n">
        <v>14</v>
      </c>
      <c r="D53" s="25" t="s">
        <v>198</v>
      </c>
    </row>
    <row r="54" customFormat="false" ht="15" hidden="false" customHeight="false" outlineLevel="0" collapsed="false">
      <c r="A54" s="16" t="s">
        <v>199</v>
      </c>
      <c r="B54" s="119" t="n">
        <v>9990</v>
      </c>
      <c r="C54" s="123" t="n">
        <v>14</v>
      </c>
      <c r="D54" s="25" t="s">
        <v>200</v>
      </c>
    </row>
    <row r="55" customFormat="false" ht="15" hidden="false" customHeight="false" outlineLevel="0" collapsed="false">
      <c r="A55" s="16" t="s">
        <v>201</v>
      </c>
      <c r="B55" s="119" t="n">
        <v>37620</v>
      </c>
      <c r="C55" s="123" t="n">
        <v>18</v>
      </c>
      <c r="D55" s="25" t="s">
        <v>202</v>
      </c>
    </row>
    <row r="56" customFormat="false" ht="15" hidden="false" customHeight="false" outlineLevel="0" collapsed="false">
      <c r="A56" s="16" t="s">
        <v>203</v>
      </c>
      <c r="B56" s="124" t="n">
        <v>8.4</v>
      </c>
      <c r="C56" s="123" t="n">
        <v>9</v>
      </c>
      <c r="D56" s="25" t="s">
        <v>204</v>
      </c>
    </row>
    <row r="57" customFormat="false" ht="15" hidden="false" customHeight="false" outlineLevel="0" collapsed="false">
      <c r="A57" s="16" t="s">
        <v>205</v>
      </c>
      <c r="B57" s="124" t="n">
        <v>8.54</v>
      </c>
      <c r="C57" s="123" t="n">
        <v>9</v>
      </c>
      <c r="D57" s="25" t="s">
        <v>206</v>
      </c>
    </row>
    <row r="58" customFormat="false" ht="15" hidden="false" customHeight="false" outlineLevel="0" collapsed="false">
      <c r="A58" s="16" t="s">
        <v>207</v>
      </c>
      <c r="B58" s="119" t="n">
        <v>40870</v>
      </c>
      <c r="C58" s="123" t="n">
        <v>19</v>
      </c>
      <c r="D58" s="25" t="s">
        <v>208</v>
      </c>
    </row>
    <row r="59" customFormat="false" ht="15" hidden="false" customHeight="false" outlineLevel="0" collapsed="false">
      <c r="A59" s="25" t="s">
        <v>209</v>
      </c>
      <c r="B59" s="5"/>
      <c r="C59" s="5"/>
      <c r="D59" s="5"/>
    </row>
    <row r="60" customFormat="false" ht="15" hidden="false" customHeight="false" outlineLevel="0" collapsed="false">
      <c r="A60" s="5"/>
      <c r="B60" s="5"/>
      <c r="C60" s="5"/>
      <c r="D60"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K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11" min="2" style="0" width="12"/>
  </cols>
  <sheetData>
    <row r="1" customFormat="false" ht="17.35" hidden="false" customHeight="false" outlineLevel="0" collapsed="false">
      <c r="A1" s="106" t="s">
        <v>210</v>
      </c>
      <c r="B1" s="5"/>
      <c r="C1" s="5"/>
      <c r="D1" s="5"/>
      <c r="E1" s="5"/>
      <c r="F1" s="5"/>
      <c r="G1" s="5"/>
      <c r="H1" s="5"/>
      <c r="I1" s="5"/>
      <c r="J1" s="5"/>
      <c r="K1" s="5"/>
    </row>
    <row r="2" customFormat="false" ht="15" hidden="false" customHeight="false" outlineLevel="0" collapsed="false">
      <c r="A2" s="25" t="s">
        <v>211</v>
      </c>
      <c r="B2" s="5"/>
      <c r="C2" s="5"/>
      <c r="D2" s="5"/>
      <c r="E2" s="5"/>
      <c r="F2" s="5"/>
      <c r="G2" s="5"/>
      <c r="H2" s="5"/>
      <c r="I2" s="5"/>
      <c r="J2" s="5"/>
      <c r="K2" s="5"/>
    </row>
    <row r="3" customFormat="false" ht="15" hidden="false" customHeight="false" outlineLevel="0" collapsed="false">
      <c r="A3" s="11" t="str">
        <f aca="false">HYPERLINK("#'Dashboard'!A1","← Back to Dashboard")</f>
        <v>← Back to Dashboard</v>
      </c>
      <c r="B3" s="5"/>
      <c r="C3" s="5"/>
      <c r="D3" s="5"/>
      <c r="E3" s="5"/>
      <c r="F3" s="5"/>
      <c r="G3" s="5"/>
      <c r="H3" s="5"/>
      <c r="I3" s="5"/>
      <c r="J3" s="5"/>
      <c r="K3" s="5"/>
    </row>
    <row r="4" customFormat="false" ht="15" hidden="false" customHeight="false" outlineLevel="0" collapsed="false">
      <c r="A4" s="108"/>
      <c r="B4" s="109" t="s">
        <v>212</v>
      </c>
      <c r="C4" s="125" t="s">
        <v>213</v>
      </c>
      <c r="D4" s="109" t="s">
        <v>58</v>
      </c>
      <c r="E4" s="109" t="s">
        <v>214</v>
      </c>
      <c r="F4" s="125" t="s">
        <v>215</v>
      </c>
      <c r="G4" s="109" t="s">
        <v>58</v>
      </c>
      <c r="H4" s="109" t="s">
        <v>216</v>
      </c>
      <c r="I4" s="125" t="s">
        <v>217</v>
      </c>
      <c r="J4" s="109" t="s">
        <v>218</v>
      </c>
      <c r="K4" s="109" t="s">
        <v>58</v>
      </c>
    </row>
    <row r="5" customFormat="false" ht="15" hidden="false" customHeight="false" outlineLevel="0" collapsed="false">
      <c r="A5" s="126" t="s">
        <v>219</v>
      </c>
      <c r="B5" s="7"/>
      <c r="C5" s="7"/>
      <c r="D5" s="7"/>
      <c r="E5" s="7"/>
      <c r="F5" s="7"/>
      <c r="G5" s="7"/>
      <c r="H5" s="7"/>
      <c r="I5" s="7"/>
      <c r="J5" s="7"/>
      <c r="K5" s="7"/>
    </row>
    <row r="6" customFormat="false" ht="15" hidden="false" customHeight="false" outlineLevel="0" collapsed="false">
      <c r="A6" s="16" t="s">
        <v>220</v>
      </c>
      <c r="B6" s="127" t="n">
        <f aca="false">Historicals!D40</f>
        <v>135100</v>
      </c>
      <c r="C6" s="128" t="n">
        <f aca="false">B6*(1+Inputs!$B$6)</f>
        <v>151312</v>
      </c>
      <c r="D6" s="129" t="n">
        <f aca="false">IF(B6=0,0,C6/B6-1)</f>
        <v>0.12</v>
      </c>
      <c r="E6" s="127" t="n">
        <f aca="false">Historicals!E40</f>
        <v>131100</v>
      </c>
      <c r="F6" s="128" t="n">
        <f aca="false">E6*(1+Inputs!$C$6)</f>
        <v>156009</v>
      </c>
      <c r="G6" s="129" t="n">
        <f aca="false">IF(E6=0,0,F6/E6-1)</f>
        <v>0.19</v>
      </c>
      <c r="H6" s="127" t="n">
        <f aca="false">Historicals!G40+Historicals!H40</f>
        <v>305500</v>
      </c>
      <c r="I6" s="128" t="n">
        <f aca="false">H6+C6+F6</f>
        <v>612821</v>
      </c>
      <c r="J6" s="127" t="n">
        <f aca="false">Historicals!F40</f>
        <v>554200</v>
      </c>
      <c r="K6" s="129" t="n">
        <f aca="false">IF(J6=0,0,I6/J6-1)</f>
        <v>0.105775893179358</v>
      </c>
    </row>
    <row r="7" customFormat="false" ht="15" hidden="false" customHeight="false" outlineLevel="0" collapsed="false">
      <c r="A7" s="16" t="s">
        <v>221</v>
      </c>
      <c r="B7" s="130" t="n">
        <f aca="false">Historicals!D41</f>
        <v>19.2820133234641</v>
      </c>
      <c r="C7" s="131" t="n">
        <f aca="false">B7*(1+Inputs!$B$7)</f>
        <v>19.9568837897853</v>
      </c>
      <c r="D7" s="5"/>
      <c r="E7" s="130" t="n">
        <f aca="false">Historicals!E41</f>
        <v>19.8321891685736</v>
      </c>
      <c r="F7" s="131" t="n">
        <f aca="false">E7*(1+Inputs!$C$7)</f>
        <v>20.5263157894737</v>
      </c>
      <c r="G7" s="5"/>
      <c r="H7" s="5"/>
      <c r="I7" s="5"/>
      <c r="J7" s="5"/>
      <c r="K7" s="5"/>
    </row>
    <row r="8" customFormat="false" ht="15" hidden="false" customHeight="false" outlineLevel="0" collapsed="false">
      <c r="A8" s="5"/>
      <c r="B8" s="5"/>
      <c r="C8" s="5"/>
      <c r="D8" s="5"/>
      <c r="E8" s="5"/>
      <c r="F8" s="5"/>
      <c r="G8" s="5"/>
      <c r="H8" s="5"/>
      <c r="I8" s="5"/>
      <c r="J8" s="5"/>
      <c r="K8" s="5"/>
    </row>
    <row r="9" customFormat="false" ht="15" hidden="false" customHeight="false" outlineLevel="0" collapsed="false">
      <c r="A9" s="126" t="s">
        <v>222</v>
      </c>
      <c r="B9" s="7"/>
      <c r="C9" s="7"/>
      <c r="D9" s="7"/>
      <c r="E9" s="7"/>
      <c r="F9" s="7"/>
      <c r="G9" s="7"/>
      <c r="H9" s="7"/>
      <c r="I9" s="7"/>
      <c r="J9" s="7"/>
      <c r="K9" s="7"/>
    </row>
    <row r="10" customFormat="false" ht="15" hidden="false" customHeight="false" outlineLevel="0" collapsed="false">
      <c r="A10" s="132" t="s">
        <v>43</v>
      </c>
      <c r="B10" s="133" t="n">
        <f aca="false">Historicals!D6</f>
        <v>2605</v>
      </c>
      <c r="C10" s="134" t="n">
        <f aca="false">C6*C7/1000</f>
        <v>3019.716</v>
      </c>
      <c r="D10" s="129" t="n">
        <f aca="false">IF(B10=0,0,C10/B10-1)</f>
        <v>0.1592</v>
      </c>
      <c r="E10" s="133" t="n">
        <f aca="false">Historicals!E6</f>
        <v>2600</v>
      </c>
      <c r="F10" s="134" t="n">
        <f aca="false">F6*F7/1000</f>
        <v>3202.29</v>
      </c>
      <c r="G10" s="129" t="n">
        <f aca="false">IF(E10=0,0,F10/E10-1)</f>
        <v>0.23165</v>
      </c>
      <c r="H10" s="133" t="n">
        <f aca="false">Historicals!G6+Historicals!H6</f>
        <v>5756</v>
      </c>
      <c r="I10" s="134" t="n">
        <f aca="false">H10+C10+F10</f>
        <v>11978.006</v>
      </c>
      <c r="J10" s="133" t="n">
        <f aca="false">Historicals!F6</f>
        <v>10875</v>
      </c>
      <c r="K10" s="129" t="n">
        <f aca="false">IF(J10=0,0,I10/J10-1)</f>
        <v>0.10142583908046</v>
      </c>
    </row>
    <row r="11" customFormat="false" ht="15" hidden="false" customHeight="false" outlineLevel="0" collapsed="false">
      <c r="A11" s="135" t="s">
        <v>45</v>
      </c>
      <c r="B11" s="133" t="n">
        <f aca="false">Historicals!D7</f>
        <v>2329</v>
      </c>
      <c r="C11" s="134" t="n">
        <f aca="false">B11*(1+Inputs!$B$10)</f>
        <v>2701.64</v>
      </c>
      <c r="D11" s="129" t="n">
        <f aca="false">IF(B11=0,0,C11/B11-1)</f>
        <v>0.16</v>
      </c>
      <c r="E11" s="133" t="n">
        <f aca="false">Historicals!E7</f>
        <v>2445</v>
      </c>
      <c r="F11" s="134" t="n">
        <f aca="false">E11*(1+Inputs!$C$10)</f>
        <v>3007.35</v>
      </c>
      <c r="G11" s="129" t="n">
        <f aca="false">IF(E11=0,0,F11/E11-1)</f>
        <v>0.23</v>
      </c>
      <c r="H11" s="133" t="n">
        <f aca="false">Historicals!G7+Historicals!H7</f>
        <v>5421</v>
      </c>
      <c r="I11" s="134" t="n">
        <f aca="false">H11+C11+F11</f>
        <v>11129.99</v>
      </c>
      <c r="J11" s="133" t="n">
        <f aca="false">Historicals!F7</f>
        <v>10149</v>
      </c>
      <c r="K11" s="129" t="n">
        <f aca="false">IF(J11=0,0,I11/J11-1)</f>
        <v>0.0966587841166617</v>
      </c>
    </row>
    <row r="12" customFormat="false" ht="15" hidden="false" customHeight="false" outlineLevel="0" collapsed="false">
      <c r="A12" s="136" t="s">
        <v>46</v>
      </c>
      <c r="B12" s="133" t="n">
        <f aca="false">Historicals!D8</f>
        <v>3172</v>
      </c>
      <c r="C12" s="134" t="n">
        <f aca="false">B12*(1+Inputs!$B$13)</f>
        <v>3520.92</v>
      </c>
      <c r="D12" s="129" t="n">
        <f aca="false">IF(B12=0,0,C12/B12-1)</f>
        <v>0.11</v>
      </c>
      <c r="E12" s="133" t="n">
        <f aca="false">Historicals!E8</f>
        <v>3285</v>
      </c>
      <c r="F12" s="134" t="n">
        <f aca="false">E12*(1+Inputs!$C$13)</f>
        <v>3777.75</v>
      </c>
      <c r="G12" s="129" t="n">
        <f aca="false">IF(E12=0,0,F12/E12-1)</f>
        <v>0.15</v>
      </c>
      <c r="H12" s="133" t="n">
        <f aca="false">Historicals!G8+Historicals!H8</f>
        <v>6442</v>
      </c>
      <c r="I12" s="134" t="n">
        <f aca="false">H12+C12+F12</f>
        <v>13740.67</v>
      </c>
      <c r="J12" s="133" t="n">
        <f aca="false">Historicals!F8</f>
        <v>12405</v>
      </c>
      <c r="K12" s="129" t="n">
        <f aca="false">IF(J12=0,0,I12/J12-1)</f>
        <v>0.107671906489319</v>
      </c>
    </row>
    <row r="13" customFormat="false" ht="15" hidden="false" customHeight="false" outlineLevel="0" collapsed="false">
      <c r="A13" s="137" t="s">
        <v>47</v>
      </c>
      <c r="B13" s="133" t="n">
        <f aca="false">Historicals!D9</f>
        <v>1996</v>
      </c>
      <c r="C13" s="134" t="n">
        <f aca="false">B13*(1+Inputs!$B$16)</f>
        <v>2355.28</v>
      </c>
      <c r="D13" s="129" t="n">
        <f aca="false">IF(B13=0,0,C13/B13-1)</f>
        <v>0.18</v>
      </c>
      <c r="E13" s="133" t="n">
        <f aca="false">Historicals!E9</f>
        <v>1929</v>
      </c>
      <c r="F13" s="134" t="n">
        <f aca="false">E13*(1+Inputs!$C$16)</f>
        <v>2218.35</v>
      </c>
      <c r="G13" s="129" t="n">
        <f aca="false">IF(E13=0,0,F13/E13-1)</f>
        <v>0.15</v>
      </c>
      <c r="H13" s="133" t="n">
        <f aca="false">Historicals!G9+Historicals!H9</f>
        <v>4211</v>
      </c>
      <c r="I13" s="134" t="n">
        <f aca="false">H13+C13+F13</f>
        <v>8784.63</v>
      </c>
      <c r="J13" s="133" t="n">
        <f aca="false">Historicals!F9</f>
        <v>7463</v>
      </c>
      <c r="K13" s="129" t="n">
        <f aca="false">IF(J13=0,0,I13/J13-1)</f>
        <v>0.177090982178748</v>
      </c>
    </row>
    <row r="14" customFormat="false" ht="15" hidden="false" customHeight="false" outlineLevel="0" collapsed="false">
      <c r="A14" s="138" t="s">
        <v>48</v>
      </c>
      <c r="B14" s="133" t="n">
        <f aca="false">Historicals!D10</f>
        <v>121</v>
      </c>
      <c r="C14" s="134" t="n">
        <f aca="false">B14*(1+Inputs!$B$19)</f>
        <v>65.34</v>
      </c>
      <c r="D14" s="129" t="n">
        <f aca="false">IF(B14=0,0,C14/B14-1)</f>
        <v>-0.46</v>
      </c>
      <c r="E14" s="133" t="n">
        <f aca="false">Historicals!E10</f>
        <v>131</v>
      </c>
      <c r="F14" s="134" t="n">
        <f aca="false">E14*(1+Inputs!$C$19)</f>
        <v>65.5</v>
      </c>
      <c r="G14" s="129" t="n">
        <f aca="false">IF(E14=0,0,F14/E14-1)</f>
        <v>-0.5</v>
      </c>
      <c r="H14" s="133" t="n">
        <f aca="false">Historicals!G10+Historicals!H10</f>
        <v>246</v>
      </c>
      <c r="I14" s="134" t="n">
        <f aca="false">H14+C14+F14</f>
        <v>376.84</v>
      </c>
      <c r="J14" s="133" t="n">
        <f aca="false">Historicals!F10</f>
        <v>460</v>
      </c>
      <c r="K14" s="129" t="n">
        <f aca="false">IF(J14=0,0,I14/J14-1)</f>
        <v>-0.180782608695652</v>
      </c>
    </row>
    <row r="15" customFormat="false" ht="15" hidden="false" customHeight="false" outlineLevel="0" collapsed="false">
      <c r="A15" s="9" t="s">
        <v>223</v>
      </c>
      <c r="B15" s="139" t="n">
        <f aca="false">SUM(B10:B14)</f>
        <v>10223</v>
      </c>
      <c r="C15" s="139" t="n">
        <f aca="false">SUM(C10:C14)</f>
        <v>11662.896</v>
      </c>
      <c r="D15" s="129" t="n">
        <f aca="false">IF(B15=0,0,C15/B15-1)</f>
        <v>0.140848674557371</v>
      </c>
      <c r="E15" s="139" t="n">
        <f aca="false">SUM(E10:E14)</f>
        <v>10390</v>
      </c>
      <c r="F15" s="139" t="n">
        <f aca="false">SUM(F10:F14)</f>
        <v>12271.24</v>
      </c>
      <c r="G15" s="129" t="n">
        <f aca="false">IF(E15=0,0,F15/E15-1)</f>
        <v>0.181062560153994</v>
      </c>
      <c r="H15" s="139" t="n">
        <f aca="false">SUM(H10:H14)</f>
        <v>22076</v>
      </c>
      <c r="I15" s="139" t="n">
        <f aca="false">SUM(I10:I14)</f>
        <v>46010.136</v>
      </c>
      <c r="J15" s="139" t="n">
        <f aca="false">SUM(J10:J14)</f>
        <v>41352</v>
      </c>
      <c r="K15" s="129" t="n">
        <f aca="false">IF(J15=0,0,I15/J15-1)</f>
        <v>0.112645966337783</v>
      </c>
    </row>
    <row r="16" customFormat="false" ht="15" hidden="false" customHeight="false" outlineLevel="0" collapsed="false">
      <c r="A16" s="16" t="s">
        <v>224</v>
      </c>
      <c r="B16" s="133" t="n">
        <f aca="false">Historicals!D12</f>
        <v>-1906</v>
      </c>
      <c r="C16" s="134" t="n">
        <f aca="false">-C15*Inputs!$B$21</f>
        <v>-2180.961552</v>
      </c>
      <c r="D16" s="5"/>
      <c r="E16" s="133" t="n">
        <f aca="false">Historicals!E12</f>
        <v>-1854</v>
      </c>
      <c r="F16" s="134" t="n">
        <f aca="false">-F15*Inputs!$C$21</f>
        <v>-2294.72188</v>
      </c>
      <c r="G16" s="5"/>
      <c r="H16" s="133" t="n">
        <f aca="false">Historicals!G12+Historicals!H12</f>
        <v>-4221</v>
      </c>
      <c r="I16" s="134" t="n">
        <f aca="false">H16+C16+F16</f>
        <v>-8696.683432</v>
      </c>
      <c r="J16" s="133" t="n">
        <f aca="false">Historicals!F12</f>
        <v>-7682</v>
      </c>
      <c r="K16" s="5"/>
    </row>
    <row r="17" customFormat="false" ht="15" hidden="false" customHeight="false" outlineLevel="0" collapsed="false">
      <c r="A17" s="9" t="s">
        <v>50</v>
      </c>
      <c r="B17" s="140" t="n">
        <f aca="false">B15+B16</f>
        <v>8317</v>
      </c>
      <c r="C17" s="140" t="n">
        <f aca="false">C15+C16</f>
        <v>9481.934448</v>
      </c>
      <c r="D17" s="129" t="n">
        <f aca="false">IF(B17=0,0,C17/B17-1)</f>
        <v>0.140066664422268</v>
      </c>
      <c r="E17" s="140" t="n">
        <f aca="false">E15+E16</f>
        <v>8536</v>
      </c>
      <c r="F17" s="140" t="n">
        <f aca="false">F15+F16</f>
        <v>9976.51812</v>
      </c>
      <c r="G17" s="129" t="n">
        <f aca="false">IF(E17=0,0,F17/E17-1)</f>
        <v>0.16875798031865</v>
      </c>
      <c r="H17" s="140" t="n">
        <f aca="false">H15+H16</f>
        <v>17855</v>
      </c>
      <c r="I17" s="140" t="n">
        <f aca="false">I15+I16</f>
        <v>37313.452568</v>
      </c>
      <c r="J17" s="140" t="n">
        <f aca="false">J15+J16</f>
        <v>33670</v>
      </c>
      <c r="K17" s="129" t="n">
        <f aca="false">IF(J17=0,0,I17/J17-1)</f>
        <v>0.10821064948025</v>
      </c>
    </row>
    <row r="18" customFormat="false" ht="15" hidden="false" customHeight="false" outlineLevel="0" collapsed="false">
      <c r="A18" s="5"/>
      <c r="B18" s="5"/>
      <c r="C18" s="5"/>
      <c r="D18" s="5"/>
      <c r="E18" s="5"/>
      <c r="F18" s="5"/>
      <c r="G18" s="5"/>
      <c r="H18" s="5"/>
      <c r="I18" s="5"/>
      <c r="J18" s="5"/>
      <c r="K18" s="5"/>
    </row>
    <row r="19" customFormat="false" ht="15" hidden="false" customHeight="false" outlineLevel="0" collapsed="false">
      <c r="A19" s="126" t="s">
        <v>225</v>
      </c>
      <c r="B19" s="7"/>
      <c r="C19" s="7"/>
      <c r="D19" s="7"/>
      <c r="E19" s="7"/>
      <c r="F19" s="7"/>
      <c r="G19" s="7"/>
      <c r="H19" s="7"/>
      <c r="I19" s="7"/>
      <c r="J19" s="7"/>
      <c r="K19" s="7"/>
    </row>
    <row r="20" customFormat="false" ht="15" hidden="false" customHeight="false" outlineLevel="0" collapsed="false">
      <c r="A20" s="132" t="s">
        <v>43</v>
      </c>
      <c r="B20" s="133" t="n">
        <f aca="false">Historicals!D18</f>
        <v>261</v>
      </c>
      <c r="C20" s="134" t="n">
        <f aca="false">C10*Inputs!$B$8</f>
        <v>410.681376</v>
      </c>
      <c r="D20" s="129" t="n">
        <f aca="false">IF(B20&lt;=0,0,C20/B20-1)</f>
        <v>0.573491862068965</v>
      </c>
      <c r="E20" s="133" t="n">
        <f aca="false">Historicals!E18</f>
        <v>263</v>
      </c>
      <c r="F20" s="134" t="n">
        <f aca="false">F10*Inputs!$C$8</f>
        <v>467.53434</v>
      </c>
      <c r="G20" s="129" t="n">
        <f aca="false">IF(E20&lt;=0,0,F20/E20-1)</f>
        <v>0.777697110266159</v>
      </c>
      <c r="H20" s="133" t="n">
        <f aca="false">Historicals!G18+Historicals!H18</f>
        <v>665</v>
      </c>
      <c r="I20" s="134" t="n">
        <f aca="false">H20+C20+F20</f>
        <v>1543.215716</v>
      </c>
      <c r="J20" s="133" t="n">
        <f aca="false">Historicals!F18</f>
        <v>1382</v>
      </c>
      <c r="K20" s="129" t="n">
        <f aca="false">IF(J20&lt;=0,0,I20/J20-1)</f>
        <v>0.116653918958032</v>
      </c>
    </row>
    <row r="21" customFormat="false" ht="15" hidden="false" customHeight="false" outlineLevel="0" collapsed="false">
      <c r="A21" s="135" t="s">
        <v>45</v>
      </c>
      <c r="B21" s="133" t="n">
        <f aca="false">Historicals!D19</f>
        <v>292</v>
      </c>
      <c r="C21" s="134" t="n">
        <f aca="false">C11*Inputs!$B$11</f>
        <v>384.9837</v>
      </c>
      <c r="D21" s="129" t="n">
        <f aca="false">IF(B21&lt;=0,0,C21/B21-1)</f>
        <v>0.318437328767123</v>
      </c>
      <c r="E21" s="133" t="n">
        <f aca="false">Historicals!E19</f>
        <v>327</v>
      </c>
      <c r="F21" s="134" t="n">
        <f aca="false">F11*Inputs!$C$11</f>
        <v>443.584125</v>
      </c>
      <c r="G21" s="129" t="n">
        <f aca="false">IF(E21&lt;=0,0,F21/E21-1)</f>
        <v>0.356526376146789</v>
      </c>
      <c r="H21" s="133" t="n">
        <f aca="false">Historicals!G19+Historicals!H19</f>
        <v>718</v>
      </c>
      <c r="I21" s="134" t="n">
        <f aca="false">H21+C21+F21</f>
        <v>1546.567825</v>
      </c>
      <c r="J21" s="133" t="n">
        <f aca="false">Historicals!F19</f>
        <v>1398</v>
      </c>
      <c r="K21" s="129" t="n">
        <f aca="false">IF(J21&lt;=0,0,I21/J21-1)</f>
        <v>0.106271691702432</v>
      </c>
    </row>
    <row r="22" customFormat="false" ht="15" hidden="false" customHeight="false" outlineLevel="0" collapsed="false">
      <c r="A22" s="136" t="s">
        <v>46</v>
      </c>
      <c r="B22" s="133" t="n">
        <f aca="false">Historicals!D20</f>
        <v>492</v>
      </c>
      <c r="C22" s="134" t="n">
        <f aca="false">C12*Inputs!$B$14</f>
        <v>489.40788</v>
      </c>
      <c r="D22" s="129" t="n">
        <f aca="false">IF(B22&lt;=0,0,C22/B22-1)</f>
        <v>-0.00526853658536564</v>
      </c>
      <c r="E22" s="133" t="n">
        <f aca="false">Historicals!E20</f>
        <v>495</v>
      </c>
      <c r="F22" s="134" t="n">
        <f aca="false">F12*Inputs!$C$14</f>
        <v>525.10725</v>
      </c>
      <c r="G22" s="129" t="n">
        <f aca="false">IF(E22&lt;=0,0,F22/E22-1)</f>
        <v>0.0608227272727273</v>
      </c>
      <c r="H22" s="133" t="n">
        <f aca="false">Historicals!G20+Historicals!H20</f>
        <v>895</v>
      </c>
      <c r="I22" s="134" t="n">
        <f aca="false">H22+C22+F22</f>
        <v>1909.51513</v>
      </c>
      <c r="J22" s="133" t="n">
        <f aca="false">Historicals!F20</f>
        <v>1808</v>
      </c>
      <c r="K22" s="129" t="n">
        <f aca="false">IF(J22&lt;=0,0,I22/J22-1)</f>
        <v>0.0561477488938054</v>
      </c>
    </row>
    <row r="23" customFormat="false" ht="15" hidden="false" customHeight="false" outlineLevel="0" collapsed="false">
      <c r="A23" s="137" t="s">
        <v>47</v>
      </c>
      <c r="B23" s="133" t="n">
        <f aca="false">Historicals!D21</f>
        <v>457</v>
      </c>
      <c r="C23" s="134" t="n">
        <f aca="false">C13*Inputs!$B$17</f>
        <v>565.2672</v>
      </c>
      <c r="D23" s="129" t="n">
        <f aca="false">IF(B23&lt;=0,0,C23/B23-1)</f>
        <v>0.236908533916849</v>
      </c>
      <c r="E23" s="133" t="n">
        <f aca="false">Historicals!E21</f>
        <v>418</v>
      </c>
      <c r="F23" s="134" t="n">
        <f aca="false">F13*Inputs!$C$17</f>
        <v>536.8407</v>
      </c>
      <c r="G23" s="129" t="n">
        <f aca="false">IF(E23&lt;=0,0,F23/E23-1)</f>
        <v>0.284307894736842</v>
      </c>
      <c r="H23" s="133" t="n">
        <f aca="false">Historicals!G21+Historicals!H21</f>
        <v>1129</v>
      </c>
      <c r="I23" s="134" t="n">
        <f aca="false">H23+C23+F23</f>
        <v>2231.1079</v>
      </c>
      <c r="J23" s="133" t="n">
        <f aca="false">Historicals!F21</f>
        <v>1694</v>
      </c>
      <c r="K23" s="129" t="n">
        <f aca="false">IF(J23&lt;=0,0,I23/J23-1)</f>
        <v>0.317064876033058</v>
      </c>
    </row>
    <row r="24" customFormat="false" ht="15" hidden="false" customHeight="false" outlineLevel="0" collapsed="false">
      <c r="A24" s="138" t="s">
        <v>48</v>
      </c>
      <c r="B24" s="133" t="n">
        <f aca="false">Historicals!D22</f>
        <v>-336</v>
      </c>
      <c r="C24" s="133" t="n">
        <f aca="false">Inputs!$B$20</f>
        <v>-65</v>
      </c>
      <c r="D24" s="5"/>
      <c r="E24" s="133" t="n">
        <f aca="false">Historicals!E22</f>
        <v>-374</v>
      </c>
      <c r="F24" s="133" t="n">
        <f aca="false">Inputs!$C$20</f>
        <v>-65</v>
      </c>
      <c r="G24" s="5"/>
      <c r="H24" s="133" t="n">
        <f aca="false">Historicals!G22+Historicals!H22</f>
        <v>-346</v>
      </c>
      <c r="I24" s="134" t="n">
        <f aca="false">H24+C24+F24</f>
        <v>-476</v>
      </c>
      <c r="J24" s="133" t="n">
        <f aca="false">Historicals!F22</f>
        <v>-896</v>
      </c>
      <c r="K24" s="5"/>
    </row>
    <row r="25" customFormat="false" ht="15" hidden="false" customHeight="false" outlineLevel="0" collapsed="false">
      <c r="A25" s="16" t="s">
        <v>226</v>
      </c>
      <c r="B25" s="133" t="n">
        <f aca="false">Historicals!D23</f>
        <v>21</v>
      </c>
      <c r="C25" s="133" t="n">
        <f aca="false">Inputs!$B$22</f>
        <v>-25</v>
      </c>
      <c r="D25" s="5"/>
      <c r="E25" s="133" t="n">
        <f aca="false">Historicals!E23</f>
        <v>22</v>
      </c>
      <c r="F25" s="133" t="n">
        <f aca="false">Inputs!$C$22</f>
        <v>-25</v>
      </c>
      <c r="G25" s="5"/>
      <c r="H25" s="133" t="n">
        <f aca="false">Historicals!G23+Historicals!H23</f>
        <v>-118</v>
      </c>
      <c r="I25" s="134" t="n">
        <f aca="false">H25+C25+F25</f>
        <v>-168</v>
      </c>
      <c r="J25" s="133" t="n">
        <f aca="false">Historicals!F23</f>
        <v>-1</v>
      </c>
      <c r="K25" s="5"/>
    </row>
    <row r="26" customFormat="false" ht="15" hidden="false" customHeight="false" outlineLevel="0" collapsed="false">
      <c r="A26" s="9" t="s">
        <v>227</v>
      </c>
      <c r="B26" s="139" t="n">
        <f aca="false">SUM(B20:B25)</f>
        <v>1187</v>
      </c>
      <c r="C26" s="139" t="n">
        <f aca="false">SUM(C20:C25)</f>
        <v>1760.340156</v>
      </c>
      <c r="D26" s="129" t="n">
        <f aca="false">IF(B26&lt;=0,0,C26/B26-1)</f>
        <v>0.483016138163437</v>
      </c>
      <c r="E26" s="139" t="n">
        <f aca="false">SUM(E20:E25)</f>
        <v>1151</v>
      </c>
      <c r="F26" s="139" t="n">
        <f aca="false">SUM(F20:F25)</f>
        <v>1883.066415</v>
      </c>
      <c r="G26" s="129" t="n">
        <f aca="false">IF(E26&lt;=0,0,F26/E26-1)</f>
        <v>0.636026424847958</v>
      </c>
      <c r="H26" s="139" t="n">
        <f aca="false">SUM(H20:H25)</f>
        <v>2943</v>
      </c>
      <c r="I26" s="139" t="n">
        <f aca="false">SUM(I20:I25)</f>
        <v>6586.406571</v>
      </c>
      <c r="J26" s="139" t="n">
        <f aca="false">SUM(J20:J25)</f>
        <v>5385</v>
      </c>
      <c r="K26" s="129" t="n">
        <f aca="false">IF(J26&lt;=0,0,I26/J26-1)</f>
        <v>0.22310242729805</v>
      </c>
    </row>
    <row r="27" customFormat="false" ht="15" hidden="false" customHeight="false" outlineLevel="0" collapsed="false">
      <c r="A27" s="9" t="s">
        <v>228</v>
      </c>
      <c r="B27" s="141" t="n">
        <f aca="false">IF(B17=0,0,B26/B17)</f>
        <v>0.142719730672117</v>
      </c>
      <c r="C27" s="141" t="n">
        <f aca="false">IF(C17=0,0,C26/C17)</f>
        <v>0.185652006523975</v>
      </c>
      <c r="D27" s="5"/>
      <c r="E27" s="141" t="n">
        <f aca="false">IF(E17=0,0,E26/E17)</f>
        <v>0.134840674789128</v>
      </c>
      <c r="F27" s="141" t="n">
        <f aca="false">IF(F17=0,0,F26/F17)</f>
        <v>0.188749861660152</v>
      </c>
      <c r="G27" s="5"/>
      <c r="H27" s="141" t="n">
        <f aca="false">IF(H17=0,0,H26/H17)</f>
        <v>0.16482777933352</v>
      </c>
      <c r="I27" s="141" t="n">
        <f aca="false">IF(I17=0,0,I26/I17)</f>
        <v>0.176515602757395</v>
      </c>
      <c r="J27" s="141" t="n">
        <f aca="false">IF(J17=0,0,J26/J17)</f>
        <v>0.15993465993466</v>
      </c>
      <c r="K27" s="5"/>
    </row>
    <row r="28" customFormat="false" ht="15" hidden="false" customHeight="false" outlineLevel="0" collapsed="false">
      <c r="A28" s="16" t="s">
        <v>229</v>
      </c>
      <c r="B28" s="133" t="n">
        <f aca="false">Historicals!D28</f>
        <v>240</v>
      </c>
      <c r="C28" s="142" t="n">
        <v>0</v>
      </c>
      <c r="D28" s="5"/>
      <c r="E28" s="133" t="n">
        <f aca="false">Historicals!E28</f>
        <v>218</v>
      </c>
      <c r="F28" s="142" t="n">
        <v>0</v>
      </c>
      <c r="G28" s="5"/>
      <c r="H28" s="133" t="n">
        <f aca="false">Historicals!G28+Historicals!H28</f>
        <v>199</v>
      </c>
      <c r="I28" s="134" t="n">
        <f aca="false">H28+C28+F28</f>
        <v>199</v>
      </c>
      <c r="J28" s="133" t="n">
        <f aca="false">Historicals!F28</f>
        <v>458</v>
      </c>
      <c r="K28" s="5"/>
    </row>
    <row r="29" customFormat="false" ht="15" hidden="false" customHeight="false" outlineLevel="0" collapsed="false">
      <c r="A29" s="9" t="s">
        <v>230</v>
      </c>
      <c r="B29" s="140" t="n">
        <f aca="false">B26+B28</f>
        <v>1427</v>
      </c>
      <c r="C29" s="140" t="n">
        <f aca="false">C26+C28</f>
        <v>1760.340156</v>
      </c>
      <c r="D29" s="129" t="n">
        <f aca="false">IF(B29&lt;=0,0,C29/B29-1)</f>
        <v>0.233595063770147</v>
      </c>
      <c r="E29" s="140" t="n">
        <f aca="false">E26+E28</f>
        <v>1369</v>
      </c>
      <c r="F29" s="140" t="n">
        <f aca="false">F26+F28</f>
        <v>1883.066415</v>
      </c>
      <c r="G29" s="129" t="n">
        <f aca="false">IF(E29&lt;=0,0,F29/E29-1)</f>
        <v>0.375505051132213</v>
      </c>
      <c r="H29" s="140" t="n">
        <f aca="false">H26+H28</f>
        <v>3142</v>
      </c>
      <c r="I29" s="140" t="n">
        <f aca="false">I26+I28</f>
        <v>6785.406571</v>
      </c>
      <c r="J29" s="140" t="n">
        <f aca="false">J26+J28</f>
        <v>5843</v>
      </c>
      <c r="K29" s="129" t="n">
        <f aca="false">IF(J29&lt;=0,0,I29/J29-1)</f>
        <v>0.161288134691084</v>
      </c>
    </row>
    <row r="30" customFormat="false" ht="15" hidden="false" customHeight="false" outlineLevel="0" collapsed="false">
      <c r="A30" s="9" t="s">
        <v>231</v>
      </c>
      <c r="B30" s="141" t="n">
        <f aca="false">IF(B17=0,0,B29/B17)</f>
        <v>0.171576289527474</v>
      </c>
      <c r="C30" s="141" t="n">
        <f aca="false">IF(C17=0,0,C29/C17)</f>
        <v>0.185652006523975</v>
      </c>
      <c r="D30" s="5"/>
      <c r="E30" s="141" t="n">
        <f aca="false">IF(E17=0,0,E29/E17)</f>
        <v>0.160379568884724</v>
      </c>
      <c r="F30" s="141" t="n">
        <f aca="false">IF(F17=0,0,F29/F17)</f>
        <v>0.188749861660152</v>
      </c>
      <c r="G30" s="5"/>
      <c r="H30" s="141" t="n">
        <f aca="false">IF(H17=0,0,H29/H17)</f>
        <v>0.175973116774013</v>
      </c>
      <c r="I30" s="141" t="n">
        <f aca="false">IF(I17=0,0,I29/I17)</f>
        <v>0.181848799937081</v>
      </c>
      <c r="J30" s="141" t="n">
        <f aca="false">IF(J17=0,0,J29/J17)</f>
        <v>0.173537273537274</v>
      </c>
      <c r="K30" s="5"/>
    </row>
    <row r="31" customFormat="false" ht="15" hidden="false" customHeight="false" outlineLevel="0" collapsed="false">
      <c r="A31" s="5"/>
      <c r="B31" s="5"/>
      <c r="C31" s="5"/>
      <c r="D31" s="5"/>
      <c r="E31" s="5"/>
      <c r="F31" s="5"/>
      <c r="G31" s="5"/>
      <c r="H31" s="5"/>
      <c r="I31" s="5"/>
      <c r="J31" s="5"/>
      <c r="K31" s="5"/>
    </row>
    <row r="32" customFormat="false" ht="15" hidden="false" customHeight="false" outlineLevel="0" collapsed="false">
      <c r="A32" s="126" t="s">
        <v>232</v>
      </c>
      <c r="B32" s="7"/>
      <c r="C32" s="7"/>
      <c r="D32" s="7"/>
      <c r="E32" s="7"/>
      <c r="F32" s="7"/>
      <c r="G32" s="7"/>
      <c r="H32" s="7"/>
      <c r="I32" s="7"/>
      <c r="J32" s="7"/>
      <c r="K32" s="7"/>
    </row>
    <row r="33" customFormat="false" ht="15" hidden="false" customHeight="false" outlineLevel="0" collapsed="false">
      <c r="A33" s="16" t="s">
        <v>233</v>
      </c>
      <c r="B33" s="129" t="n">
        <f aca="false">K17</f>
        <v>0.10821064948025</v>
      </c>
      <c r="C33" s="5"/>
      <c r="D33" s="5"/>
      <c r="E33" s="5"/>
      <c r="F33" s="5"/>
      <c r="G33" s="5"/>
      <c r="H33" s="5"/>
      <c r="I33" s="5"/>
      <c r="J33" s="5"/>
      <c r="K33" s="5"/>
    </row>
    <row r="34" customFormat="false" ht="15" hidden="false" customHeight="false" outlineLevel="0" collapsed="false">
      <c r="A34" s="16" t="s">
        <v>234</v>
      </c>
      <c r="B34" s="143" t="n">
        <f aca="false">Inputs!$B$31</f>
        <v>0.1</v>
      </c>
      <c r="C34" s="143" t="n">
        <f aca="false">Inputs!$B$32</f>
        <v>0.13</v>
      </c>
      <c r="D34" s="5"/>
      <c r="E34" s="5"/>
      <c r="F34" s="5"/>
      <c r="G34" s="5"/>
      <c r="H34" s="5"/>
      <c r="I34" s="5"/>
      <c r="J34" s="5"/>
      <c r="K34" s="5"/>
    </row>
    <row r="35" customFormat="false" ht="15" hidden="false" customHeight="false" outlineLevel="0" collapsed="false">
      <c r="A35" s="9" t="s">
        <v>235</v>
      </c>
      <c r="B35" s="9" t="str">
        <f aca="false">IF(AND(B33&gt;=B34,B33&lt;=C34),"Yes",IF(B33&lt;B34,"Below","Above"))</f>
        <v>Yes</v>
      </c>
      <c r="C35" s="5"/>
      <c r="D35" s="5"/>
      <c r="E35" s="5"/>
      <c r="F35" s="5"/>
      <c r="G35" s="5"/>
      <c r="H35" s="5"/>
      <c r="I35" s="5"/>
      <c r="J35" s="5"/>
      <c r="K35" s="5"/>
    </row>
    <row r="36" customFormat="false" ht="15" hidden="false" customHeight="false" outlineLevel="0" collapsed="false">
      <c r="A36" s="16" t="s">
        <v>236</v>
      </c>
      <c r="B36" s="129" t="n">
        <f aca="false">I30</f>
        <v>0.181848799937081</v>
      </c>
      <c r="C36" s="5"/>
      <c r="D36" s="5"/>
      <c r="E36" s="5"/>
      <c r="F36" s="5"/>
      <c r="G36" s="5"/>
      <c r="H36" s="5"/>
      <c r="I36" s="5"/>
      <c r="J36" s="5"/>
      <c r="K36" s="5"/>
    </row>
    <row r="37" customFormat="false" ht="15" hidden="false" customHeight="false" outlineLevel="0" collapsed="false">
      <c r="A37" s="16" t="s">
        <v>234</v>
      </c>
      <c r="B37" s="143" t="n">
        <f aca="false">Inputs!$B$33</f>
        <v>0.18</v>
      </c>
      <c r="C37" s="143" t="n">
        <f aca="false">Inputs!$B$34</f>
        <v>0.185</v>
      </c>
      <c r="D37" s="5"/>
      <c r="E37" s="5"/>
      <c r="F37" s="5"/>
      <c r="G37" s="5"/>
      <c r="H37" s="5"/>
      <c r="I37" s="5"/>
      <c r="J37" s="5"/>
      <c r="K37" s="5"/>
    </row>
    <row r="38" customFormat="false" ht="15" hidden="false" customHeight="false" outlineLevel="0" collapsed="false">
      <c r="A38" s="9" t="s">
        <v>237</v>
      </c>
      <c r="B38" s="9" t="str">
        <f aca="false">IF(AND(B36&gt;=B37,B36&lt;=C37),"Yes",IF(B36&lt;B37,"Below","Above"))</f>
        <v>Yes</v>
      </c>
      <c r="C38" s="5"/>
      <c r="D38" s="5"/>
      <c r="E38" s="5"/>
      <c r="F38" s="5"/>
      <c r="G38" s="5"/>
      <c r="H38" s="5"/>
      <c r="I38" s="5"/>
      <c r="J38" s="5"/>
      <c r="K38" s="5"/>
    </row>
    <row r="39" customFormat="false" ht="15" hidden="false" customHeight="false" outlineLevel="0" collapsed="false">
      <c r="A39" s="16" t="s">
        <v>238</v>
      </c>
      <c r="B39" s="129" t="n">
        <f aca="false">(C17+F17)/(B17+E17)-1</f>
        <v>0.154598740164956</v>
      </c>
      <c r="C39" s="5"/>
      <c r="D39" s="5"/>
      <c r="E39" s="5"/>
      <c r="F39" s="5"/>
      <c r="G39" s="5"/>
      <c r="H39" s="5"/>
      <c r="I39" s="5"/>
      <c r="J39" s="5"/>
      <c r="K39" s="5"/>
    </row>
    <row r="40" customFormat="false" ht="15" hidden="false" customHeight="false" outlineLevel="0" collapsed="false">
      <c r="A40" s="5"/>
      <c r="B40" s="5"/>
      <c r="C40" s="5"/>
      <c r="D40" s="5"/>
      <c r="E40" s="5"/>
      <c r="F40" s="5"/>
      <c r="G40" s="5"/>
      <c r="H40" s="5"/>
      <c r="I40" s="5"/>
      <c r="J40" s="5"/>
      <c r="K40" s="5"/>
    </row>
    <row r="41" customFormat="false" ht="15" hidden="false" customHeight="false" outlineLevel="0" collapsed="false">
      <c r="A41" s="126" t="s">
        <v>239</v>
      </c>
      <c r="B41" s="7"/>
      <c r="C41" s="7"/>
      <c r="D41" s="7"/>
      <c r="E41" s="7"/>
      <c r="F41" s="7"/>
      <c r="G41" s="7"/>
      <c r="H41" s="7"/>
      <c r="I41" s="7"/>
      <c r="J41" s="7"/>
      <c r="K41" s="7"/>
    </row>
    <row r="42" customFormat="false" ht="23.85" hidden="false" customHeight="false" outlineLevel="0" collapsed="false">
      <c r="A42" s="5"/>
      <c r="B42" s="144" t="s">
        <v>240</v>
      </c>
      <c r="C42" s="144" t="s">
        <v>213</v>
      </c>
      <c r="D42" s="5"/>
      <c r="E42" s="5"/>
      <c r="F42" s="144" t="s">
        <v>215</v>
      </c>
      <c r="G42" s="5"/>
      <c r="H42" s="5"/>
      <c r="I42" s="5"/>
      <c r="J42" s="5"/>
      <c r="K42" s="5"/>
    </row>
    <row r="43" customFormat="false" ht="15" hidden="false" customHeight="false" outlineLevel="0" collapsed="false">
      <c r="A43" s="16" t="s">
        <v>54</v>
      </c>
      <c r="B43" s="133" t="n">
        <f aca="false">Historicals!H29</f>
        <v>1653</v>
      </c>
      <c r="C43" s="134" t="n">
        <f aca="false">C29</f>
        <v>1760.340156</v>
      </c>
      <c r="D43" s="5"/>
      <c r="E43" s="5"/>
      <c r="F43" s="134" t="n">
        <f aca="false">F29</f>
        <v>1883.066415</v>
      </c>
      <c r="G43" s="5"/>
      <c r="H43" s="5"/>
      <c r="I43" s="5"/>
      <c r="J43" s="5"/>
      <c r="K43" s="5"/>
    </row>
    <row r="44" customFormat="false" ht="15" hidden="false" customHeight="false" outlineLevel="0" collapsed="false">
      <c r="A44" s="16" t="s">
        <v>241</v>
      </c>
      <c r="B44" s="142" t="n">
        <v>280</v>
      </c>
      <c r="C44" s="133" t="n">
        <f aca="false">Inputs!$B$24</f>
        <v>285</v>
      </c>
      <c r="D44" s="5"/>
      <c r="E44" s="5"/>
      <c r="F44" s="133" t="n">
        <f aca="false">Inputs!$C$24</f>
        <v>290</v>
      </c>
      <c r="G44" s="5"/>
      <c r="H44" s="5"/>
      <c r="I44" s="25" t="s">
        <v>242</v>
      </c>
      <c r="J44" s="5"/>
      <c r="K44" s="5"/>
    </row>
    <row r="45" customFormat="false" ht="15" hidden="false" customHeight="false" outlineLevel="0" collapsed="false">
      <c r="A45" s="16" t="s">
        <v>243</v>
      </c>
      <c r="B45" s="142" t="n">
        <v>80</v>
      </c>
      <c r="C45" s="133" t="n">
        <f aca="false">Inputs!$B$25</f>
        <v>80</v>
      </c>
      <c r="D45" s="5"/>
      <c r="E45" s="5"/>
      <c r="F45" s="133" t="n">
        <f aca="false">Inputs!$C$25</f>
        <v>80</v>
      </c>
      <c r="G45" s="5"/>
      <c r="H45" s="5"/>
      <c r="I45" s="5"/>
      <c r="J45" s="5"/>
      <c r="K45" s="5"/>
    </row>
    <row r="46" customFormat="false" ht="15" hidden="false" customHeight="false" outlineLevel="0" collapsed="false">
      <c r="A46" s="9" t="s">
        <v>244</v>
      </c>
      <c r="B46" s="140" t="n">
        <f aca="false">B43-B44-B45</f>
        <v>1293</v>
      </c>
      <c r="C46" s="140" t="n">
        <f aca="false">C43-C44-C45</f>
        <v>1395.340156</v>
      </c>
      <c r="D46" s="5"/>
      <c r="E46" s="5"/>
      <c r="F46" s="140" t="n">
        <f aca="false">F43-F44-F45</f>
        <v>1513.066415</v>
      </c>
      <c r="G46" s="5"/>
      <c r="H46" s="5"/>
      <c r="I46" s="5"/>
      <c r="J46" s="5"/>
      <c r="K46" s="5"/>
    </row>
    <row r="47" customFormat="false" ht="15" hidden="false" customHeight="false" outlineLevel="0" collapsed="false">
      <c r="A47" s="16" t="s">
        <v>245</v>
      </c>
      <c r="B47" s="142" t="n">
        <v>325</v>
      </c>
      <c r="C47" s="134" t="n">
        <f aca="false">C46*Inputs!$B$26</f>
        <v>320.92823588</v>
      </c>
      <c r="D47" s="5"/>
      <c r="E47" s="5"/>
      <c r="F47" s="134" t="n">
        <f aca="false">F46*Inputs!$C$26</f>
        <v>348.00527545</v>
      </c>
      <c r="G47" s="5"/>
      <c r="H47" s="5"/>
      <c r="I47" s="5"/>
      <c r="J47" s="5"/>
      <c r="K47" s="5"/>
    </row>
    <row r="48" customFormat="false" ht="15" hidden="false" customHeight="false" outlineLevel="0" collapsed="false">
      <c r="A48" s="16" t="s">
        <v>246</v>
      </c>
      <c r="B48" s="142" t="n">
        <v>36</v>
      </c>
      <c r="C48" s="133" t="n">
        <f aca="false">Inputs!$B$27</f>
        <v>32</v>
      </c>
      <c r="D48" s="5"/>
      <c r="E48" s="5"/>
      <c r="F48" s="133" t="n">
        <f aca="false">Inputs!$C$27</f>
        <v>32</v>
      </c>
      <c r="G48" s="5"/>
      <c r="H48" s="5"/>
      <c r="I48" s="5"/>
      <c r="J48" s="5"/>
      <c r="K48" s="5"/>
    </row>
    <row r="49" customFormat="false" ht="15" hidden="false" customHeight="false" outlineLevel="0" collapsed="false">
      <c r="A49" s="9" t="s">
        <v>247</v>
      </c>
      <c r="B49" s="140" t="n">
        <f aca="false">B46-B47-B48</f>
        <v>932</v>
      </c>
      <c r="C49" s="140" t="n">
        <f aca="false">C46-C47-C48</f>
        <v>1042.41192012</v>
      </c>
      <c r="D49" s="5"/>
      <c r="E49" s="5"/>
      <c r="F49" s="140" t="n">
        <f aca="false">F46-F47-F48</f>
        <v>1133.06113955</v>
      </c>
      <c r="G49" s="5"/>
      <c r="H49" s="5"/>
      <c r="I49" s="5"/>
      <c r="J49" s="5"/>
      <c r="K49" s="5"/>
    </row>
    <row r="50" customFormat="false" ht="15" hidden="false" customHeight="false" outlineLevel="0" collapsed="false">
      <c r="A50" s="16" t="s">
        <v>169</v>
      </c>
      <c r="B50" s="145" t="n">
        <v>138.5</v>
      </c>
      <c r="C50" s="146" t="n">
        <f aca="false">Inputs!$B$28</f>
        <v>138.5</v>
      </c>
      <c r="D50" s="5"/>
      <c r="E50" s="5"/>
      <c r="F50" s="146" t="n">
        <f aca="false">Inputs!$C$28</f>
        <v>138.5</v>
      </c>
      <c r="G50" s="5"/>
      <c r="H50" s="5"/>
      <c r="I50" s="5"/>
      <c r="J50" s="5"/>
      <c r="K50" s="5"/>
    </row>
    <row r="51" customFormat="false" ht="15" hidden="false" customHeight="false" outlineLevel="0" collapsed="false">
      <c r="A51" s="9" t="s">
        <v>248</v>
      </c>
      <c r="B51" s="147" t="n">
        <f aca="false">B49/B50</f>
        <v>6.72924187725632</v>
      </c>
      <c r="C51" s="147" t="n">
        <f aca="false">C49/C50</f>
        <v>7.52643985646209</v>
      </c>
      <c r="D51" s="5"/>
      <c r="E51" s="5"/>
      <c r="F51" s="147" t="n">
        <f aca="false">F49/F50</f>
        <v>8.18094685595668</v>
      </c>
      <c r="G51" s="5"/>
      <c r="H51" s="5"/>
      <c r="I51" s="5"/>
      <c r="J51" s="5"/>
      <c r="K51" s="5"/>
    </row>
    <row r="52" customFormat="false" ht="15" hidden="false" customHeight="false" outlineLevel="0" collapsed="false">
      <c r="A52" s="16" t="s">
        <v>249</v>
      </c>
      <c r="B52" s="148" t="n">
        <v>6.73</v>
      </c>
      <c r="C52" s="5"/>
      <c r="D52" s="5"/>
      <c r="E52" s="5"/>
      <c r="F52" s="5"/>
      <c r="G52" s="5"/>
      <c r="H52" s="5"/>
      <c r="I52" s="5"/>
      <c r="J52" s="5"/>
      <c r="K52" s="5"/>
    </row>
    <row r="53" customFormat="false" ht="15" hidden="false" customHeight="false" outlineLevel="0" collapsed="false">
      <c r="A53" s="25" t="s">
        <v>250</v>
      </c>
      <c r="B53" s="149" t="n">
        <f aca="false">B51-B52</f>
        <v>-0.000758122743683032</v>
      </c>
      <c r="C53" s="5"/>
      <c r="D53" s="5"/>
      <c r="E53" s="5"/>
      <c r="F53" s="5"/>
      <c r="G53" s="5"/>
      <c r="H53" s="5"/>
      <c r="I53" s="5"/>
      <c r="J53" s="5"/>
      <c r="K53" s="5"/>
    </row>
    <row r="54" customFormat="false" ht="15" hidden="false" customHeight="false" outlineLevel="0" collapsed="false">
      <c r="A54" s="5"/>
      <c r="B54" s="5"/>
      <c r="C54" s="5"/>
      <c r="D54" s="5"/>
      <c r="E54" s="5"/>
      <c r="F54" s="5"/>
      <c r="G54" s="5"/>
      <c r="H54" s="5"/>
      <c r="I54" s="5"/>
      <c r="J54" s="5"/>
      <c r="K54" s="5"/>
    </row>
    <row r="55" customFormat="false" ht="15" hidden="false" customHeight="false" outlineLevel="0" collapsed="false">
      <c r="A55" s="126" t="s">
        <v>251</v>
      </c>
      <c r="B55" s="7"/>
      <c r="C55" s="7"/>
      <c r="D55" s="7"/>
      <c r="E55" s="7"/>
      <c r="F55" s="7"/>
      <c r="G55" s="7"/>
      <c r="H55" s="7"/>
      <c r="I55" s="7"/>
      <c r="J55" s="7"/>
      <c r="K55" s="7"/>
    </row>
    <row r="56" customFormat="false" ht="15" hidden="false" customHeight="false" outlineLevel="0" collapsed="false">
      <c r="A56" s="108" t="s">
        <v>60</v>
      </c>
      <c r="B56" s="109" t="s">
        <v>252</v>
      </c>
      <c r="C56" s="109" t="s">
        <v>253</v>
      </c>
      <c r="D56" s="109" t="s">
        <v>254</v>
      </c>
      <c r="E56" s="109" t="s">
        <v>255</v>
      </c>
      <c r="F56" s="109" t="s">
        <v>256</v>
      </c>
      <c r="G56" s="109" t="s">
        <v>253</v>
      </c>
      <c r="H56" s="109" t="s">
        <v>254</v>
      </c>
      <c r="I56" s="109" t="s">
        <v>255</v>
      </c>
      <c r="J56" s="5"/>
      <c r="K56" s="5"/>
    </row>
    <row r="57" customFormat="false" ht="15" hidden="false" customHeight="false" outlineLevel="0" collapsed="false">
      <c r="A57" s="132" t="s">
        <v>43</v>
      </c>
      <c r="B57" s="129" t="n">
        <f aca="false">K10</f>
        <v>0.10142583908046</v>
      </c>
      <c r="C57" s="143" t="n">
        <f aca="false">Inputs!$B$39</f>
        <v>0.09</v>
      </c>
      <c r="D57" s="143" t="n">
        <f aca="false">Inputs!$C$39</f>
        <v>0.14</v>
      </c>
      <c r="E57" s="9" t="str">
        <f aca="false">IF(AND(B57&gt;=C57,B57&lt;=D57),"Yes","No")</f>
        <v>Yes</v>
      </c>
      <c r="F57" s="129" t="n">
        <f aca="false">I20/I10</f>
        <v>0.12883744723454</v>
      </c>
      <c r="G57" s="143" t="n">
        <f aca="false">Inputs!$B$40</f>
        <v>0.125</v>
      </c>
      <c r="H57" s="143" t="n">
        <f aca="false">Inputs!$C$40</f>
        <v>0.1325</v>
      </c>
      <c r="I57" s="9" t="str">
        <f aca="false">IF(AND(F57&gt;=G57,F57&lt;=H57),"Yes","No")</f>
        <v>Yes</v>
      </c>
      <c r="J57" s="5"/>
      <c r="K57" s="5"/>
    </row>
    <row r="58" customFormat="false" ht="15" hidden="false" customHeight="false" outlineLevel="0" collapsed="false">
      <c r="A58" s="135" t="s">
        <v>45</v>
      </c>
      <c r="B58" s="129" t="n">
        <f aca="false">K11</f>
        <v>0.0966587841166617</v>
      </c>
      <c r="C58" s="143" t="n">
        <f aca="false">Inputs!$B$41</f>
        <v>0.08</v>
      </c>
      <c r="D58" s="143" t="n">
        <f aca="false">Inputs!$C$41</f>
        <v>0.13</v>
      </c>
      <c r="E58" s="9" t="str">
        <f aca="false">IF(AND(B58&gt;=C58,B58&lt;=D58),"Yes","No")</f>
        <v>Yes</v>
      </c>
      <c r="F58" s="129" t="n">
        <f aca="false">I21/I11</f>
        <v>0.138955005799646</v>
      </c>
      <c r="G58" s="143" t="n">
        <f aca="false">Inputs!$B$42</f>
        <v>0.135</v>
      </c>
      <c r="H58" s="143" t="n">
        <f aca="false">Inputs!$C$42</f>
        <v>0.1425</v>
      </c>
      <c r="I58" s="9" t="str">
        <f aca="false">IF(AND(F58&gt;=G58,F58&lt;=H58),"Yes","No")</f>
        <v>Yes</v>
      </c>
      <c r="J58" s="5"/>
      <c r="K58" s="5"/>
    </row>
    <row r="59" customFormat="false" ht="15" hidden="false" customHeight="false" outlineLevel="0" collapsed="false">
      <c r="A59" s="136" t="s">
        <v>46</v>
      </c>
      <c r="B59" s="129" t="n">
        <f aca="false">K12</f>
        <v>0.107671906489319</v>
      </c>
      <c r="C59" s="143" t="n">
        <f aca="false">Inputs!$B$43</f>
        <v>0.09</v>
      </c>
      <c r="D59" s="143" t="n">
        <f aca="false">Inputs!$C$43</f>
        <v>0.14</v>
      </c>
      <c r="E59" s="9" t="str">
        <f aca="false">IF(AND(B59&gt;=C59,B59&lt;=D59),"Yes","No")</f>
        <v>Yes</v>
      </c>
      <c r="F59" s="129" t="n">
        <f aca="false">I22/I12</f>
        <v>0.138968123825112</v>
      </c>
      <c r="G59" s="143" t="n">
        <f aca="false">Inputs!$B$44</f>
        <v>0.135</v>
      </c>
      <c r="H59" s="143" t="n">
        <f aca="false">Inputs!$C$44</f>
        <v>0.1425</v>
      </c>
      <c r="I59" s="9" t="str">
        <f aca="false">IF(AND(F59&gt;=G59,F59&lt;=H59),"Yes","No")</f>
        <v>Yes</v>
      </c>
      <c r="J59" s="5"/>
      <c r="K59" s="5"/>
    </row>
    <row r="60" customFormat="false" ht="15" hidden="false" customHeight="false" outlineLevel="0" collapsed="false">
      <c r="A60" s="137" t="s">
        <v>47</v>
      </c>
      <c r="B60" s="129" t="n">
        <f aca="false">K13</f>
        <v>0.177090982178748</v>
      </c>
      <c r="C60" s="143" t="n">
        <f aca="false">Inputs!$B$45</f>
        <v>0.14</v>
      </c>
      <c r="D60" s="143" t="n">
        <f aca="false">Inputs!$C$45</f>
        <v>0.19</v>
      </c>
      <c r="E60" s="9" t="str">
        <f aca="false">IF(AND(B60&gt;=C60,B60&lt;=D60),"Yes","No")</f>
        <v>Yes</v>
      </c>
      <c r="F60" s="129" t="n">
        <f aca="false">I23/I13</f>
        <v>0.253978585324595</v>
      </c>
      <c r="G60" s="143" t="n">
        <f aca="false">Inputs!$B$46</f>
        <v>0.25</v>
      </c>
      <c r="H60" s="143" t="n">
        <f aca="false">Inputs!$C$46</f>
        <v>0.2575</v>
      </c>
      <c r="I60" s="9" t="str">
        <f aca="false">IF(AND(F60&gt;=G60,F60&lt;=H60),"Yes","No")</f>
        <v>Yes</v>
      </c>
      <c r="J60" s="5"/>
      <c r="K60" s="5"/>
    </row>
    <row r="61" customFormat="false" ht="15" hidden="false" customHeight="false" outlineLevel="0" collapsed="false">
      <c r="A61" s="16" t="s">
        <v>257</v>
      </c>
      <c r="B61" s="134" t="n">
        <f aca="false">I14</f>
        <v>376.84</v>
      </c>
      <c r="C61" s="133" t="n">
        <f aca="false">Inputs!$B$47</f>
        <v>350</v>
      </c>
      <c r="D61" s="133" t="n">
        <f aca="false">Inputs!$C$47</f>
        <v>400</v>
      </c>
      <c r="E61" s="9" t="str">
        <f aca="false">IF(AND(B61&gt;=C61,B61&lt;=D61),"Yes","No")</f>
        <v>Yes</v>
      </c>
      <c r="F61" s="134" t="n">
        <f aca="false">-(I24+I28)</f>
        <v>277</v>
      </c>
      <c r="G61" s="133" t="n">
        <f aca="false">Inputs!$B$48</f>
        <v>260</v>
      </c>
      <c r="H61" s="133" t="n">
        <f aca="false">Inputs!$C$48</f>
        <v>290</v>
      </c>
      <c r="I61" s="9" t="str">
        <f aca="false">IF(AND(F61&gt;=G61,F61&lt;=H61),"Yes","No")</f>
        <v>Yes</v>
      </c>
      <c r="J61" s="5"/>
      <c r="K61" s="5"/>
    </row>
    <row r="62" customFormat="false" ht="15" hidden="false" customHeight="false" outlineLevel="0" collapsed="false">
      <c r="A62" s="5"/>
      <c r="B62" s="5"/>
      <c r="C62" s="5"/>
      <c r="D62" s="5"/>
      <c r="E62" s="5"/>
      <c r="F62" s="5"/>
      <c r="G62" s="5"/>
      <c r="H62" s="5"/>
      <c r="I62" s="5"/>
      <c r="J62" s="5"/>
      <c r="K62" s="5"/>
    </row>
    <row r="63" customFormat="false" ht="15" hidden="false" customHeight="false" outlineLevel="0" collapsed="false">
      <c r="A63" s="126" t="s">
        <v>258</v>
      </c>
      <c r="B63" s="7"/>
      <c r="C63" s="7"/>
      <c r="D63" s="7"/>
      <c r="E63" s="7"/>
      <c r="F63" s="7"/>
      <c r="G63" s="7"/>
      <c r="H63" s="7"/>
      <c r="I63" s="7"/>
      <c r="J63" s="7"/>
      <c r="K63" s="7"/>
    </row>
    <row r="64" customFormat="false" ht="23.85" hidden="false" customHeight="false" outlineLevel="0" collapsed="false">
      <c r="A64" s="108" t="s">
        <v>60</v>
      </c>
      <c r="B64" s="109" t="s">
        <v>259</v>
      </c>
      <c r="C64" s="109" t="s">
        <v>260</v>
      </c>
      <c r="D64" s="109" t="s">
        <v>261</v>
      </c>
      <c r="E64" s="109" t="s">
        <v>262</v>
      </c>
      <c r="F64" s="109" t="s">
        <v>263</v>
      </c>
      <c r="G64" s="109" t="s">
        <v>260</v>
      </c>
      <c r="H64" s="109" t="s">
        <v>261</v>
      </c>
      <c r="I64" s="109" t="s">
        <v>262</v>
      </c>
      <c r="J64" s="5"/>
      <c r="K64" s="5"/>
    </row>
    <row r="65" customFormat="false" ht="15" hidden="false" customHeight="false" outlineLevel="0" collapsed="false">
      <c r="A65" s="16" t="s">
        <v>43</v>
      </c>
      <c r="B65" s="129" t="n">
        <f aca="false">C10/Historicals!H6-1</f>
        <v>-0.0208443579766539</v>
      </c>
      <c r="C65" s="143" t="n">
        <f aca="false">Historicals!D45/Historicals!C45-1</f>
        <v>-0.075531577277055</v>
      </c>
      <c r="D65" s="143" t="n">
        <f aca="false">Historicals!D6/Historicals!C6-1</f>
        <v>-0.101414280786478</v>
      </c>
      <c r="E65" s="9" t="str">
        <f aca="false">IF(AND(B65&gt;=MIN(C65:D65)-0.02,B65&lt;=MAX(C65:D65)+0.02),"Yes","Outside")</f>
        <v>Outside</v>
      </c>
      <c r="F65" s="129" t="n">
        <f aca="false">F10/C10-1</f>
        <v>0.0604606525911708</v>
      </c>
      <c r="G65" s="143" t="n">
        <f aca="false">Historicals!E45/Historicals!D45-1</f>
        <v>-0.0662547202197048</v>
      </c>
      <c r="H65" s="143" t="n">
        <f aca="false">Historicals!E6/Historicals!D6-1</f>
        <v>-0.00191938579654516</v>
      </c>
      <c r="I65" s="9" t="str">
        <f aca="false">IF(AND(F65&gt;=MIN(G65:H65)-0.02,F65&lt;=MAX(G65:H65)+0.02),"Yes","Outside")</f>
        <v>Outside</v>
      </c>
      <c r="J65" s="5"/>
      <c r="K65" s="5"/>
    </row>
    <row r="66" customFormat="false" ht="15" hidden="false" customHeight="false" outlineLevel="0" collapsed="false">
      <c r="A66" s="16" t="s">
        <v>45</v>
      </c>
      <c r="B66" s="129" t="n">
        <f aca="false">C11/Historicals!H7-1</f>
        <v>-0.0654998270494639</v>
      </c>
      <c r="C66" s="143" t="n">
        <f aca="false">Historicals!D46/Historicals!C46-1</f>
        <v>-0.0865191146881288</v>
      </c>
      <c r="D66" s="143" t="n">
        <f aca="false">Historicals!D7/Historicals!C7-1</f>
        <v>-0.139001848428835</v>
      </c>
      <c r="E66" s="9" t="str">
        <f aca="false">IF(AND(B66&gt;=MIN(C66:D66)-0.02,B66&lt;=MAX(C66:D66)+0.02),"Yes","Outside")</f>
        <v>Outside</v>
      </c>
      <c r="F66" s="129" t="n">
        <f aca="false">F11/C11-1</f>
        <v>0.113157193408448</v>
      </c>
      <c r="G66" s="143" t="n">
        <f aca="false">Historicals!E46/Historicals!D46-1</f>
        <v>-0.0304698972099853</v>
      </c>
      <c r="H66" s="143" t="n">
        <f aca="false">Historicals!E7/Historicals!D7-1</f>
        <v>0.0498067840274796</v>
      </c>
      <c r="I66" s="9" t="str">
        <f aca="false">IF(AND(F66&gt;=MIN(G66:H66)-0.02,F66&lt;=MAX(G66:H66)+0.02),"Yes","Outside")</f>
        <v>Outside</v>
      </c>
      <c r="J66" s="5"/>
      <c r="K66" s="5"/>
    </row>
    <row r="67" customFormat="false" ht="15" hidden="false" customHeight="false" outlineLevel="0" collapsed="false">
      <c r="A67" s="16" t="s">
        <v>46</v>
      </c>
      <c r="B67" s="129" t="n">
        <f aca="false">C12/Historicals!H8-1</f>
        <v>0.0586049308478656</v>
      </c>
      <c r="C67" s="143" t="n">
        <f aca="false">Historicals!D47/Historicals!C47-1</f>
        <v>0.0434782608695652</v>
      </c>
      <c r="D67" s="143" t="n">
        <f aca="false">Historicals!D8/Historicals!C8-1</f>
        <v>0.0430779348898389</v>
      </c>
      <c r="E67" s="9" t="str">
        <f aca="false">IF(AND(B67&gt;=MIN(C67:D67)-0.02,B67&lt;=MAX(C67:D67)+0.02),"Yes","Outside")</f>
        <v>Yes</v>
      </c>
      <c r="F67" s="129" t="n">
        <f aca="false">F12/C12-1</f>
        <v>0.0729440032718718</v>
      </c>
      <c r="G67" s="143" t="n">
        <f aca="false">Historicals!E47/Historicals!D47-1</f>
        <v>0.0392953929539295</v>
      </c>
      <c r="H67" s="143" t="n">
        <f aca="false">Historicals!E8/Historicals!D8-1</f>
        <v>0.03562421185372</v>
      </c>
      <c r="I67" s="9" t="str">
        <f aca="false">IF(AND(F67&gt;=MIN(G67:H67)-0.02,F67&lt;=MAX(G67:H67)+0.02),"Yes","Outside")</f>
        <v>Outside</v>
      </c>
      <c r="J67" s="5"/>
      <c r="K67" s="5"/>
    </row>
    <row r="68" customFormat="false" ht="15" hidden="false" customHeight="false" outlineLevel="0" collapsed="false">
      <c r="A68" s="16" t="s">
        <v>47</v>
      </c>
      <c r="B68" s="129" t="n">
        <f aca="false">C13/Historicals!H9-1</f>
        <v>0.0444700665188469</v>
      </c>
      <c r="C68" s="143" t="n">
        <f aca="false">Historicals!D48/Historicals!C48-1</f>
        <v>0.0616740088105727</v>
      </c>
      <c r="D68" s="143" t="n">
        <f aca="false">Historicals!D9/Historicals!C9-1</f>
        <v>0.0566437268395976</v>
      </c>
      <c r="E68" s="9" t="str">
        <f aca="false">IF(AND(B68&gt;=MIN(C68:D68)-0.02,B68&lt;=MAX(C68:D68)+0.02),"Yes","Outside")</f>
        <v>Yes</v>
      </c>
      <c r="F68" s="129" t="n">
        <f aca="false">F13/C13-1</f>
        <v>-0.0581374613634047</v>
      </c>
      <c r="G68" s="143" t="n">
        <f aca="false">Historicals!E48/Historicals!D48-1</f>
        <v>0.0331950207468881</v>
      </c>
      <c r="H68" s="143" t="n">
        <f aca="false">Historicals!E9/Historicals!D9-1</f>
        <v>-0.0335671342685371</v>
      </c>
      <c r="I68" s="9" t="str">
        <f aca="false">IF(AND(F68&gt;=MIN(G68:H68)-0.02,F68&lt;=MAX(G68:H68)+0.02),"Yes","Outside")</f>
        <v>Outside</v>
      </c>
      <c r="J68" s="5"/>
      <c r="K68" s="5"/>
    </row>
    <row r="69" customFormat="false" ht="25.5" hidden="false" customHeight="true" outlineLevel="0" collapsed="false">
      <c r="A69" s="150" t="s">
        <v>264</v>
      </c>
      <c r="B69" s="150"/>
      <c r="C69" s="150"/>
      <c r="D69" s="150"/>
      <c r="E69" s="150"/>
      <c r="F69" s="150"/>
      <c r="G69" s="150"/>
      <c r="H69" s="150"/>
      <c r="I69" s="150"/>
      <c r="J69" s="150"/>
      <c r="K69" s="150"/>
    </row>
    <row r="70" customFormat="false" ht="15" hidden="false" customHeight="false" outlineLevel="0" collapsed="false">
      <c r="A70" s="5"/>
      <c r="B70" s="5"/>
      <c r="C70" s="5"/>
      <c r="D70" s="5"/>
      <c r="E70" s="5"/>
      <c r="F70" s="5"/>
      <c r="G70" s="5"/>
      <c r="H70" s="5"/>
      <c r="I70" s="5"/>
      <c r="J70" s="5"/>
      <c r="K70" s="5"/>
    </row>
    <row r="71" customFormat="false" ht="15" hidden="false" customHeight="false" outlineLevel="0" collapsed="false">
      <c r="A71" s="126" t="s">
        <v>265</v>
      </c>
      <c r="B71" s="7"/>
      <c r="C71" s="7"/>
      <c r="D71" s="7"/>
      <c r="E71" s="7"/>
      <c r="F71" s="7"/>
      <c r="G71" s="7"/>
      <c r="H71" s="7"/>
      <c r="I71" s="7"/>
      <c r="J71" s="7"/>
      <c r="K71" s="7"/>
    </row>
    <row r="72" customFormat="false" ht="15" hidden="false" customHeight="false" outlineLevel="0" collapsed="false">
      <c r="A72" s="108" t="s">
        <v>193</v>
      </c>
      <c r="B72" s="109" t="s">
        <v>266</v>
      </c>
      <c r="C72" s="109" t="s">
        <v>194</v>
      </c>
      <c r="D72" s="109" t="s">
        <v>267</v>
      </c>
      <c r="E72" s="5"/>
      <c r="F72" s="5"/>
      <c r="G72" s="5"/>
      <c r="H72" s="5"/>
      <c r="I72" s="5"/>
      <c r="J72" s="5"/>
      <c r="K72" s="5"/>
    </row>
    <row r="73" customFormat="false" ht="15" hidden="false" customHeight="false" outlineLevel="0" collapsed="false">
      <c r="A73" s="16" t="s">
        <v>197</v>
      </c>
      <c r="B73" s="134" t="n">
        <f aca="false">C17</f>
        <v>9481.934448</v>
      </c>
      <c r="C73" s="133" t="n">
        <f aca="false">Inputs!$B$53</f>
        <v>9840</v>
      </c>
      <c r="D73" s="151" t="n">
        <f aca="false">B73/C73-1</f>
        <v>-0.0363887756097561</v>
      </c>
      <c r="E73" s="5"/>
      <c r="F73" s="5"/>
      <c r="G73" s="5"/>
      <c r="H73" s="5"/>
      <c r="I73" s="5"/>
      <c r="J73" s="5"/>
      <c r="K73" s="5"/>
    </row>
    <row r="74" customFormat="false" ht="15" hidden="false" customHeight="false" outlineLevel="0" collapsed="false">
      <c r="A74" s="16" t="s">
        <v>199</v>
      </c>
      <c r="B74" s="134" t="n">
        <f aca="false">F17</f>
        <v>9976.51812</v>
      </c>
      <c r="C74" s="133" t="n">
        <f aca="false">Inputs!$B$54</f>
        <v>9990</v>
      </c>
      <c r="D74" s="151" t="n">
        <f aca="false">B74/C74-1</f>
        <v>-0.00134953753753764</v>
      </c>
      <c r="E74" s="5"/>
      <c r="F74" s="5"/>
      <c r="G74" s="5"/>
      <c r="H74" s="5"/>
      <c r="I74" s="5"/>
      <c r="J74" s="5"/>
      <c r="K74" s="5"/>
    </row>
    <row r="75" customFormat="false" ht="15" hidden="false" customHeight="false" outlineLevel="0" collapsed="false">
      <c r="A75" s="16" t="s">
        <v>201</v>
      </c>
      <c r="B75" s="134" t="n">
        <f aca="false">I17</f>
        <v>37313.452568</v>
      </c>
      <c r="C75" s="133" t="n">
        <f aca="false">Inputs!$B$55</f>
        <v>37620</v>
      </c>
      <c r="D75" s="151" t="n">
        <f aca="false">B75/C75-1</f>
        <v>-0.008148522913344</v>
      </c>
      <c r="E75" s="5"/>
      <c r="F75" s="5"/>
      <c r="G75" s="5"/>
      <c r="H75" s="5"/>
      <c r="I75" s="5"/>
      <c r="J75" s="5"/>
      <c r="K75" s="5"/>
    </row>
    <row r="76" customFormat="false" ht="15" hidden="false" customHeight="false" outlineLevel="0" collapsed="false">
      <c r="A76" s="16" t="s">
        <v>203</v>
      </c>
      <c r="B76" s="152" t="n">
        <f aca="false">C51</f>
        <v>7.52643985646209</v>
      </c>
      <c r="C76" s="153" t="n">
        <f aca="false">Inputs!$B$56</f>
        <v>8.4</v>
      </c>
      <c r="D76" s="151" t="n">
        <f aca="false">B76/C76-1</f>
        <v>-0.103995255183084</v>
      </c>
      <c r="E76" s="5"/>
      <c r="F76" s="5"/>
      <c r="G76" s="5"/>
      <c r="H76" s="5"/>
      <c r="I76" s="5"/>
      <c r="J76" s="5"/>
      <c r="K76" s="5"/>
    </row>
    <row r="77" customFormat="false" ht="15" hidden="false" customHeight="false" outlineLevel="0" collapsed="false">
      <c r="A77" s="16" t="s">
        <v>205</v>
      </c>
      <c r="B77" s="152" t="n">
        <f aca="false">F51</f>
        <v>8.18094685595668</v>
      </c>
      <c r="C77" s="153" t="n">
        <f aca="false">Inputs!$B$57</f>
        <v>8.54</v>
      </c>
      <c r="D77" s="151" t="n">
        <f aca="false">B77/C77-1</f>
        <v>-0.0420436936818879</v>
      </c>
      <c r="E77" s="5"/>
      <c r="F77" s="5"/>
      <c r="G77" s="5"/>
      <c r="H77" s="5"/>
      <c r="I77" s="5"/>
      <c r="J77" s="5"/>
      <c r="K77" s="5"/>
    </row>
    <row r="78" customFormat="false" ht="15" hidden="false" customHeight="false" outlineLevel="0" collapsed="false">
      <c r="A78" s="16" t="s">
        <v>268</v>
      </c>
      <c r="B78" s="129" t="n">
        <f aca="false">C30</f>
        <v>0.185652006523975</v>
      </c>
      <c r="C78" s="129" t="n">
        <f aca="false">((C76*C50+C48)/(1-Inputs!$B$26)+C45+C44)/C73</f>
        <v>0.194864586632879</v>
      </c>
      <c r="D78" s="151" t="n">
        <f aca="false">B78-C78</f>
        <v>-0.00921258010890427</v>
      </c>
      <c r="E78" s="5"/>
      <c r="F78" s="5"/>
      <c r="G78" s="5"/>
      <c r="H78" s="5"/>
      <c r="I78" s="5"/>
      <c r="J78" s="5"/>
      <c r="K78" s="5"/>
    </row>
    <row r="79" customFormat="false" ht="15" hidden="false" customHeight="false" outlineLevel="0" collapsed="false">
      <c r="A79" s="16" t="s">
        <v>269</v>
      </c>
      <c r="B79" s="129" t="n">
        <f aca="false">F30</f>
        <v>0.188749861660152</v>
      </c>
      <c r="C79" s="129" t="n">
        <f aca="false">((C77*F50+F48)/(1-Inputs!$C$26)+F45+F44)/C74</f>
        <v>0.194959894959895</v>
      </c>
      <c r="D79" s="151" t="n">
        <f aca="false">B79-C79</f>
        <v>-0.0062100332997429</v>
      </c>
      <c r="E79" s="5"/>
      <c r="F79" s="5"/>
      <c r="G79" s="5"/>
      <c r="H79" s="5"/>
      <c r="I79" s="5"/>
      <c r="J79" s="5"/>
      <c r="K79" s="5"/>
    </row>
    <row r="80" customFormat="false" ht="25.5" hidden="false" customHeight="true" outlineLevel="0" collapsed="false">
      <c r="A80" s="150" t="s">
        <v>270</v>
      </c>
      <c r="B80" s="150"/>
      <c r="C80" s="150"/>
      <c r="D80" s="150"/>
      <c r="E80" s="150"/>
      <c r="F80" s="150"/>
      <c r="G80" s="150"/>
      <c r="H80" s="150"/>
      <c r="I80" s="150"/>
      <c r="J80" s="150"/>
      <c r="K80" s="150"/>
    </row>
    <row r="81" customFormat="false" ht="15" hidden="false" customHeight="false" outlineLevel="0" collapsed="false">
      <c r="A81" s="5"/>
      <c r="B81" s="5"/>
      <c r="C81" s="5"/>
      <c r="D81" s="5"/>
      <c r="E81" s="5"/>
      <c r="F81" s="5"/>
      <c r="G81" s="5"/>
      <c r="H81" s="5"/>
      <c r="I81" s="5"/>
      <c r="J81" s="5"/>
      <c r="K81" s="5"/>
    </row>
    <row r="82" customFormat="false" ht="15" hidden="false" customHeight="false" outlineLevel="0" collapsed="false">
      <c r="A82" s="126" t="s">
        <v>271</v>
      </c>
      <c r="B82" s="7"/>
      <c r="C82" s="7"/>
      <c r="D82" s="7"/>
      <c r="E82" s="7"/>
      <c r="F82" s="7"/>
      <c r="G82" s="7"/>
      <c r="H82" s="7"/>
      <c r="I82" s="7"/>
      <c r="J82" s="7"/>
      <c r="K82" s="7"/>
    </row>
    <row r="83" customFormat="false" ht="15" hidden="false" customHeight="false" outlineLevel="0" collapsed="false">
      <c r="A83" s="16" t="s">
        <v>272</v>
      </c>
      <c r="B83" s="134" t="n">
        <f aca="false">C17*(1-Backtest!$G$14)</f>
        <v>9268.19262330048</v>
      </c>
      <c r="C83" s="134" t="n">
        <f aca="false">C17*(1+Backtest!$G$14)</f>
        <v>9695.67627269952</v>
      </c>
      <c r="D83" s="154" t="n">
        <f aca="false">Backtest!G14</f>
        <v>0.0225420061562016</v>
      </c>
      <c r="E83" s="5"/>
      <c r="F83" s="5"/>
      <c r="G83" s="5"/>
      <c r="H83" s="5"/>
      <c r="I83" s="5"/>
      <c r="J83" s="5"/>
      <c r="K83" s="5"/>
    </row>
    <row r="84" customFormat="false" ht="15" hidden="false" customHeight="false" outlineLevel="0" collapsed="false">
      <c r="A84" s="16" t="s">
        <v>273</v>
      </c>
      <c r="B84" s="5"/>
      <c r="C84" s="5"/>
      <c r="D84" s="154" t="n">
        <f aca="false">Backtest!G13</f>
        <v>0.0764680534159736</v>
      </c>
      <c r="E84" s="5"/>
      <c r="F84" s="5"/>
      <c r="G84" s="5"/>
      <c r="H84" s="5"/>
      <c r="I84" s="5"/>
      <c r="J84" s="5"/>
      <c r="K84" s="5"/>
    </row>
  </sheetData>
  <mergeCells count="2">
    <mergeCell ref="A69:K69"/>
    <mergeCell ref="A80:K80"/>
  </mergeCells>
  <conditionalFormatting sqref="E57:E61">
    <cfRule type="cellIs" priority="2" operator="equal" aboveAverage="0" equalAverage="0" bottom="0" percent="0" rank="0" text="" dxfId="2">
      <formula>"Yes"</formula>
    </cfRule>
    <cfRule type="cellIs" priority="3" operator="equal" aboveAverage="0" equalAverage="0" bottom="0" percent="0" rank="0" text="" dxfId="3">
      <formula>"No"</formula>
    </cfRule>
  </conditionalFormatting>
  <conditionalFormatting sqref="I57:I61">
    <cfRule type="cellIs" priority="4" operator="equal" aboveAverage="0" equalAverage="0" bottom="0" percent="0" rank="0" text="" dxfId="2">
      <formula>"Yes"</formula>
    </cfRule>
    <cfRule type="cellIs" priority="5" operator="equal" aboveAverage="0" equalAverage="0" bottom="0" percent="0" rank="0" text="" dxfId="3">
      <formula>"No"</formula>
    </cfRule>
  </conditionalFormatting>
  <conditionalFormatting sqref="E65:E68">
    <cfRule type="cellIs" priority="6" operator="equal" aboveAverage="0" equalAverage="0" bottom="0" percent="0" rank="0" text="" dxfId="2">
      <formula>"Yes"</formula>
    </cfRule>
    <cfRule type="cellIs" priority="7" operator="equal" aboveAverage="0" equalAverage="0" bottom="0" percent="0" rank="0" text="" dxfId="4">
      <formula>"Outside"</formula>
    </cfRule>
  </conditionalFormatting>
  <conditionalFormatting sqref="I65:I68">
    <cfRule type="cellIs" priority="8" operator="equal" aboveAverage="0" equalAverage="0" bottom="0" percent="0" rank="0" text="" dxfId="2">
      <formula>"Yes"</formula>
    </cfRule>
    <cfRule type="cellIs" priority="9" operator="equal" aboveAverage="0" equalAverage="0" bottom="0" percent="0" rank="0" text="" dxfId="4">
      <formula>"Outside"</formula>
    </cfRule>
  </conditionalFormatting>
  <conditionalFormatting sqref="D10:D17">
    <cfRule type="cellIs" priority="10" operator="greaterThan" aboveAverage="0" equalAverage="0" bottom="0" percent="0" rank="0" text="" dxfId="5">
      <formula>0</formula>
    </cfRule>
    <cfRule type="cellIs" priority="11" operator="lessThan" aboveAverage="0" equalAverage="0" bottom="0" percent="0" rank="0" text="" dxfId="6">
      <formula>0</formula>
    </cfRule>
  </conditionalFormatting>
  <conditionalFormatting sqref="G10:G17">
    <cfRule type="cellIs" priority="12" operator="greaterThan" aboveAverage="0" equalAverage="0" bottom="0" percent="0" rank="0" text="" dxfId="5">
      <formula>0</formula>
    </cfRule>
    <cfRule type="cellIs" priority="13" operator="lessThan" aboveAverage="0" equalAverage="0" bottom="0" percent="0" rank="0" text="" dxfId="6">
      <formula>0</formula>
    </cfRule>
  </conditionalFormatting>
  <conditionalFormatting sqref="K10:K17">
    <cfRule type="cellIs" priority="14" operator="greaterThan" aboveAverage="0" equalAverage="0" bottom="0" percent="0" rank="0" text="" dxfId="5">
      <formula>0</formula>
    </cfRule>
    <cfRule type="cellIs" priority="15" operator="lessThan" aboveAverage="0" equalAverage="0" bottom="0" percent="0" rank="0" text="" dxfId="6">
      <formula>0</formula>
    </cfRule>
  </conditionalFormatting>
  <conditionalFormatting sqref="D20:D29">
    <cfRule type="cellIs" priority="16" operator="greaterThan" aboveAverage="0" equalAverage="0" bottom="0" percent="0" rank="0" text="" dxfId="5">
      <formula>0</formula>
    </cfRule>
    <cfRule type="cellIs" priority="17" operator="lessThan" aboveAverage="0" equalAverage="0" bottom="0" percent="0" rank="0" text="" dxfId="6">
      <formula>0</formula>
    </cfRule>
  </conditionalFormatting>
  <conditionalFormatting sqref="G20:G29">
    <cfRule type="cellIs" priority="18" operator="greaterThan" aboveAverage="0" equalAverage="0" bottom="0" percent="0" rank="0" text="" dxfId="5">
      <formula>0</formula>
    </cfRule>
    <cfRule type="cellIs" priority="19" operator="lessThan" aboveAverage="0" equalAverage="0" bottom="0" percent="0" rank="0" text="" dxfId="6">
      <formula>0</formula>
    </cfRule>
  </conditionalFormatting>
  <conditionalFormatting sqref="K20:K29">
    <cfRule type="cellIs" priority="20" operator="greaterThan" aboveAverage="0" equalAverage="0" bottom="0" percent="0" rank="0" text="" dxfId="5">
      <formula>0</formula>
    </cfRule>
    <cfRule type="cellIs" priority="21" operator="lessThan" aboveAverage="0" equalAverage="0" bottom="0" percent="0" rank="0" text="" dxfId="6">
      <formula>0</formula>
    </cfRule>
  </conditionalFormatting>
  <conditionalFormatting sqref="B35">
    <cfRule type="cellIs" priority="22" operator="equal" aboveAverage="0" equalAverage="0" bottom="0" percent="0" rank="0" text="" dxfId="2">
      <formula>"Yes"</formula>
    </cfRule>
    <cfRule type="cellIs" priority="23" operator="notEqual" aboveAverage="0" equalAverage="0" bottom="0" percent="0" rank="0" text="" dxfId="3">
      <formula>"Yes"</formula>
    </cfRule>
  </conditionalFormatting>
  <conditionalFormatting sqref="B38">
    <cfRule type="cellIs" priority="24" operator="equal" aboveAverage="0" equalAverage="0" bottom="0" percent="0" rank="0" text="" dxfId="2">
      <formula>"Yes"</formula>
    </cfRule>
    <cfRule type="cellIs" priority="25" operator="notEqual" aboveAverage="0" equalAverage="0" bottom="0" percent="0" rank="0" text="" dxfId="3">
      <formula>"Yes"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9A2E"/>
    <pageSetUpPr fitToPage="tru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3"/>
    <col collapsed="false" customWidth="true" hidden="false" outlineLevel="0" max="9" min="9" style="0" width="50"/>
  </cols>
  <sheetData>
    <row r="1" customFormat="false" ht="17.35" hidden="false" customHeight="false" outlineLevel="0" collapsed="false">
      <c r="A1" s="106" t="s">
        <v>274</v>
      </c>
      <c r="B1" s="5"/>
      <c r="C1" s="5"/>
      <c r="D1" s="5"/>
      <c r="E1" s="5"/>
      <c r="F1" s="5"/>
      <c r="G1" s="5"/>
      <c r="H1" s="5"/>
      <c r="I1" s="11" t="str">
        <f aca="false">HYPERLINK("#'Dashboard'!A1","← Back to Dashboard")</f>
        <v>← Back to Dashboard</v>
      </c>
    </row>
    <row r="2" customFormat="false" ht="15" hidden="false" customHeight="false" outlineLevel="0" collapsed="false">
      <c r="A2" s="25" t="s">
        <v>275</v>
      </c>
      <c r="B2" s="5"/>
      <c r="C2" s="5"/>
      <c r="D2" s="5"/>
      <c r="E2" s="5"/>
      <c r="F2" s="5"/>
      <c r="G2" s="5"/>
      <c r="H2" s="5"/>
      <c r="I2" s="5"/>
    </row>
    <row r="3" customFormat="false" ht="25.5" hidden="false" customHeight="true" outlineLevel="0" collapsed="false">
      <c r="A3" s="155" t="str">
        <f aca="false">IF(C11="","Waiting for Q3 2026 results (expected early November 2026). Type the actual figures into the yellow cells below.","Sales "&amp;IF(D11&gt;=0,"BEAT budget by ","MISSED budget by ")&amp;TEXT(ABS(D11),"$#,##0")&amp;"M"&amp;IF(C20="","","; profit (EBITDA) "&amp;IF(D20&gt;=0,"BEAT budget by ","MISSED budget by ")&amp;TEXT(ABS(D20),"$#,##0")&amp;"M"))</f>
        <v>Waiting for Q3 2026 results (expected early November 2026). Type the actual figures into the yellow cells below.</v>
      </c>
      <c r="B3" s="155"/>
      <c r="C3" s="155"/>
      <c r="D3" s="155"/>
      <c r="E3" s="155"/>
      <c r="F3" s="155"/>
      <c r="G3" s="155"/>
      <c r="H3" s="155"/>
      <c r="I3" s="155"/>
    </row>
    <row r="4" customFormat="false" ht="15" hidden="false" customHeight="false" outlineLevel="0" collapsed="false">
      <c r="A4" s="108" t="s">
        <v>106</v>
      </c>
      <c r="B4" s="109" t="s">
        <v>266</v>
      </c>
      <c r="C4" s="109" t="s">
        <v>64</v>
      </c>
      <c r="D4" s="109" t="s">
        <v>276</v>
      </c>
      <c r="E4" s="109" t="s">
        <v>277</v>
      </c>
      <c r="F4" s="5"/>
      <c r="G4" s="5"/>
      <c r="H4" s="5"/>
      <c r="I4" s="5"/>
    </row>
    <row r="5" customFormat="false" ht="15" hidden="false" customHeight="false" outlineLevel="0" collapsed="false">
      <c r="A5" s="132" t="s">
        <v>43</v>
      </c>
      <c r="B5" s="133" t="n">
        <f aca="false">Forecast!C10</f>
        <v>3019.716</v>
      </c>
      <c r="C5" s="119"/>
      <c r="D5" s="134" t="str">
        <f aca="false">IF(C5="","",C5-B5)</f>
        <v/>
      </c>
      <c r="E5" s="129" t="str">
        <f aca="false">IF(OR(C5="",B5=0),"",C5/B5-1)</f>
        <v/>
      </c>
      <c r="F5" s="5"/>
      <c r="G5" s="5"/>
      <c r="H5" s="5"/>
      <c r="I5" s="5"/>
    </row>
    <row r="6" customFormat="false" ht="15" hidden="false" customHeight="false" outlineLevel="0" collapsed="false">
      <c r="A6" s="135" t="s">
        <v>45</v>
      </c>
      <c r="B6" s="133" t="n">
        <f aca="false">Forecast!C11</f>
        <v>2701.64</v>
      </c>
      <c r="C6" s="119"/>
      <c r="D6" s="134" t="str">
        <f aca="false">IF(C6="","",C6-B6)</f>
        <v/>
      </c>
      <c r="E6" s="129" t="str">
        <f aca="false">IF(OR(C6="",B6=0),"",C6/B6-1)</f>
        <v/>
      </c>
      <c r="F6" s="5"/>
      <c r="G6" s="5"/>
      <c r="H6" s="5"/>
      <c r="I6" s="5"/>
    </row>
    <row r="7" customFormat="false" ht="15" hidden="false" customHeight="false" outlineLevel="0" collapsed="false">
      <c r="A7" s="136" t="s">
        <v>46</v>
      </c>
      <c r="B7" s="133" t="n">
        <f aca="false">Forecast!C12</f>
        <v>3520.92</v>
      </c>
      <c r="C7" s="119"/>
      <c r="D7" s="134" t="str">
        <f aca="false">IF(C7="","",C7-B7)</f>
        <v/>
      </c>
      <c r="E7" s="129" t="str">
        <f aca="false">IF(OR(C7="",B7=0),"",C7/B7-1)</f>
        <v/>
      </c>
      <c r="F7" s="5"/>
      <c r="G7" s="5"/>
      <c r="H7" s="5"/>
      <c r="I7" s="5"/>
    </row>
    <row r="8" customFormat="false" ht="15" hidden="false" customHeight="false" outlineLevel="0" collapsed="false">
      <c r="A8" s="137" t="s">
        <v>47</v>
      </c>
      <c r="B8" s="133" t="n">
        <f aca="false">Forecast!C13</f>
        <v>2355.28</v>
      </c>
      <c r="C8" s="119"/>
      <c r="D8" s="134" t="str">
        <f aca="false">IF(C8="","",C8-B8)</f>
        <v/>
      </c>
      <c r="E8" s="129" t="str">
        <f aca="false">IF(OR(C8="",B8=0),"",C8/B8-1)</f>
        <v/>
      </c>
      <c r="F8" s="5"/>
      <c r="G8" s="5"/>
      <c r="H8" s="5"/>
      <c r="I8" s="5"/>
    </row>
    <row r="9" customFormat="false" ht="15" hidden="false" customHeight="false" outlineLevel="0" collapsed="false">
      <c r="A9" s="138" t="s">
        <v>48</v>
      </c>
      <c r="B9" s="133" t="n">
        <f aca="false">Forecast!C14</f>
        <v>65.34</v>
      </c>
      <c r="C9" s="119"/>
      <c r="D9" s="134" t="str">
        <f aca="false">IF(C9="","",C9-B9)</f>
        <v/>
      </c>
      <c r="E9" s="129" t="str">
        <f aca="false">IF(OR(C9="",B9=0),"",C9/B9-1)</f>
        <v/>
      </c>
      <c r="F9" s="5"/>
      <c r="G9" s="5"/>
      <c r="H9" s="5"/>
      <c r="I9" s="5"/>
    </row>
    <row r="10" customFormat="false" ht="15" hidden="false" customHeight="false" outlineLevel="0" collapsed="false">
      <c r="A10" s="16" t="s">
        <v>224</v>
      </c>
      <c r="B10" s="133" t="n">
        <f aca="false">Forecast!C16</f>
        <v>-2180.961552</v>
      </c>
      <c r="C10" s="119"/>
      <c r="D10" s="134" t="str">
        <f aca="false">IF(C10="","",C10-B10)</f>
        <v/>
      </c>
      <c r="E10" s="129" t="str">
        <f aca="false">IF(OR(C10="",B10=0),"",C10/B10-1)</f>
        <v/>
      </c>
      <c r="F10" s="5"/>
      <c r="G10" s="5"/>
      <c r="H10" s="5"/>
      <c r="I10" s="5"/>
    </row>
    <row r="11" customFormat="false" ht="15" hidden="false" customHeight="false" outlineLevel="0" collapsed="false">
      <c r="A11" s="9" t="s">
        <v>50</v>
      </c>
      <c r="B11" s="139" t="n">
        <f aca="false">SUM(B5:B10)</f>
        <v>9481.934448</v>
      </c>
      <c r="C11" s="139" t="str">
        <f aca="false">IF(COUNT(C5:C10)=0,"",SUM(C5:C10))</f>
        <v/>
      </c>
      <c r="D11" s="140" t="str">
        <f aca="false">IF(C11="","",C11-B11)</f>
        <v/>
      </c>
      <c r="E11" s="129" t="str">
        <f aca="false">IF(OR(C11="",B11=0),"",C11/B11-1)</f>
        <v/>
      </c>
      <c r="F11" s="5"/>
      <c r="G11" s="5"/>
      <c r="H11" s="5"/>
      <c r="I11" s="5"/>
    </row>
    <row r="12" customFormat="false" ht="15" hidden="false" customHeight="false" outlineLevel="0" collapsed="false">
      <c r="A12" s="5"/>
      <c r="B12" s="5"/>
      <c r="C12" s="5"/>
      <c r="D12" s="5"/>
      <c r="E12" s="5"/>
      <c r="F12" s="5"/>
      <c r="G12" s="5"/>
      <c r="H12" s="5"/>
      <c r="I12" s="5"/>
    </row>
    <row r="13" customFormat="false" ht="23.85" hidden="false" customHeight="false" outlineLevel="0" collapsed="false">
      <c r="A13" s="108" t="s">
        <v>52</v>
      </c>
      <c r="B13" s="109" t="s">
        <v>266</v>
      </c>
      <c r="C13" s="109" t="s">
        <v>64</v>
      </c>
      <c r="D13" s="109" t="s">
        <v>276</v>
      </c>
      <c r="E13" s="109" t="s">
        <v>278</v>
      </c>
      <c r="F13" s="109" t="s">
        <v>279</v>
      </c>
      <c r="G13" s="109" t="s">
        <v>280</v>
      </c>
      <c r="H13" s="109" t="s">
        <v>281</v>
      </c>
      <c r="I13" s="109" t="s">
        <v>282</v>
      </c>
    </row>
    <row r="14" customFormat="false" ht="15" hidden="false" customHeight="false" outlineLevel="0" collapsed="false">
      <c r="A14" s="132" t="s">
        <v>43</v>
      </c>
      <c r="B14" s="133" t="n">
        <f aca="false">Forecast!C20</f>
        <v>410.681376</v>
      </c>
      <c r="C14" s="119"/>
      <c r="D14" s="134" t="str">
        <f aca="false">IF(C14="","",C14-B14)</f>
        <v/>
      </c>
      <c r="E14" s="134" t="str">
        <f aca="false">IF(OR(C14="",C5=""),"",(C5-B5)*G14)</f>
        <v/>
      </c>
      <c r="F14" s="134" t="str">
        <f aca="false">IF(E14="","",D14-E14)</f>
        <v/>
      </c>
      <c r="G14" s="129" t="n">
        <f aca="false">IF(B5=0,0,B14/B5)</f>
        <v>0.136</v>
      </c>
      <c r="H14" s="129" t="str">
        <f aca="false">IF(OR(C14="",C5=""),"",C14/C5)</f>
        <v/>
      </c>
      <c r="I14" s="25" t="s">
        <v>283</v>
      </c>
    </row>
    <row r="15" customFormat="false" ht="15" hidden="false" customHeight="false" outlineLevel="0" collapsed="false">
      <c r="A15" s="135" t="s">
        <v>45</v>
      </c>
      <c r="B15" s="133" t="n">
        <f aca="false">Forecast!C21</f>
        <v>384.9837</v>
      </c>
      <c r="C15" s="119"/>
      <c r="D15" s="134" t="str">
        <f aca="false">IF(C15="","",C15-B15)</f>
        <v/>
      </c>
      <c r="E15" s="134" t="str">
        <f aca="false">IF(OR(C15="",C6=""),"",(C6-B6)*G15)</f>
        <v/>
      </c>
      <c r="F15" s="134" t="str">
        <f aca="false">IF(E15="","",D15-E15)</f>
        <v/>
      </c>
      <c r="G15" s="129" t="n">
        <f aca="false">IF(B6=0,0,B15/B6)</f>
        <v>0.1425</v>
      </c>
      <c r="H15" s="129" t="str">
        <f aca="false">IF(OR(C15="",C6=""),"",C15/C6)</f>
        <v/>
      </c>
      <c r="I15" s="25" t="s">
        <v>284</v>
      </c>
    </row>
    <row r="16" customFormat="false" ht="15" hidden="false" customHeight="false" outlineLevel="0" collapsed="false">
      <c r="A16" s="136" t="s">
        <v>46</v>
      </c>
      <c r="B16" s="133" t="n">
        <f aca="false">Forecast!C22</f>
        <v>489.40788</v>
      </c>
      <c r="C16" s="119"/>
      <c r="D16" s="134" t="str">
        <f aca="false">IF(C16="","",C16-B16)</f>
        <v/>
      </c>
      <c r="E16" s="134" t="str">
        <f aca="false">IF(OR(C16="",C7=""),"",(C7-B7)*G16)</f>
        <v/>
      </c>
      <c r="F16" s="134" t="str">
        <f aca="false">IF(E16="","",D16-E16)</f>
        <v/>
      </c>
      <c r="G16" s="129" t="n">
        <f aca="false">IF(B7=0,0,B16/B7)</f>
        <v>0.139</v>
      </c>
      <c r="H16" s="129" t="str">
        <f aca="false">IF(OR(C16="",C7=""),"",C16/C7)</f>
        <v/>
      </c>
      <c r="I16" s="25" t="s">
        <v>285</v>
      </c>
    </row>
    <row r="17" customFormat="false" ht="15" hidden="false" customHeight="false" outlineLevel="0" collapsed="false">
      <c r="A17" s="137" t="s">
        <v>47</v>
      </c>
      <c r="B17" s="133" t="n">
        <f aca="false">Forecast!C23</f>
        <v>565.2672</v>
      </c>
      <c r="C17" s="119"/>
      <c r="D17" s="134" t="str">
        <f aca="false">IF(C17="","",C17-B17)</f>
        <v/>
      </c>
      <c r="E17" s="134" t="str">
        <f aca="false">IF(OR(C17="",C8=""),"",(C8-B8)*G17)</f>
        <v/>
      </c>
      <c r="F17" s="134" t="str">
        <f aca="false">IF(E17="","",D17-E17)</f>
        <v/>
      </c>
      <c r="G17" s="129" t="n">
        <f aca="false">IF(B8=0,0,B17/B8)</f>
        <v>0.24</v>
      </c>
      <c r="H17" s="129" t="str">
        <f aca="false">IF(OR(C17="",C8=""),"",C17/C8)</f>
        <v/>
      </c>
      <c r="I17" s="5"/>
    </row>
    <row r="18" customFormat="false" ht="15" hidden="false" customHeight="false" outlineLevel="0" collapsed="false">
      <c r="A18" s="138" t="s">
        <v>48</v>
      </c>
      <c r="B18" s="133" t="n">
        <f aca="false">Forecast!C24</f>
        <v>-65</v>
      </c>
      <c r="C18" s="119"/>
      <c r="D18" s="134" t="str">
        <f aca="false">IF(C18="","",C18-B18)</f>
        <v/>
      </c>
      <c r="E18" s="5"/>
      <c r="F18" s="134" t="str">
        <f aca="false">D18</f>
        <v/>
      </c>
      <c r="G18" s="5"/>
      <c r="H18" s="5"/>
      <c r="I18" s="25" t="s">
        <v>286</v>
      </c>
    </row>
    <row r="19" customFormat="false" ht="15" hidden="false" customHeight="false" outlineLevel="0" collapsed="false">
      <c r="A19" s="16" t="s">
        <v>226</v>
      </c>
      <c r="B19" s="133" t="n">
        <f aca="false">Forecast!C25</f>
        <v>-25</v>
      </c>
      <c r="C19" s="119"/>
      <c r="D19" s="134" t="str">
        <f aca="false">IF(C19="","",C19-B19)</f>
        <v/>
      </c>
      <c r="E19" s="5"/>
      <c r="F19" s="134" t="str">
        <f aca="false">D19</f>
        <v/>
      </c>
      <c r="G19" s="5"/>
      <c r="H19" s="5"/>
      <c r="I19" s="5"/>
    </row>
    <row r="20" customFormat="false" ht="15" hidden="false" customHeight="false" outlineLevel="0" collapsed="false">
      <c r="A20" s="9" t="s">
        <v>287</v>
      </c>
      <c r="B20" s="139" t="n">
        <f aca="false">SUM(B14:B19)</f>
        <v>1760.340156</v>
      </c>
      <c r="C20" s="139" t="str">
        <f aca="false">IF(COUNT(C14:C19)=0,"",SUM(C14:C19))</f>
        <v/>
      </c>
      <c r="D20" s="139" t="str">
        <f aca="false">IF(C20="","",C20-B20)</f>
        <v/>
      </c>
      <c r="E20" s="139" t="str">
        <f aca="false">IF(C20="","",SUM(E14:E19))</f>
        <v/>
      </c>
      <c r="F20" s="139" t="str">
        <f aca="false">IF(C20="","",SUM(F14:F19))</f>
        <v/>
      </c>
      <c r="G20" s="141" t="n">
        <f aca="false">IF(B11=0,0,B20/B11)</f>
        <v>0.185652006523975</v>
      </c>
      <c r="H20" s="141" t="str">
        <f aca="false">IF(OR(C20="",C11=""),"",C20/C11)</f>
        <v/>
      </c>
      <c r="I20" s="5"/>
    </row>
    <row r="21" customFormat="false" ht="15" hidden="false" customHeight="false" outlineLevel="0" collapsed="false">
      <c r="A21" s="5"/>
      <c r="B21" s="5"/>
      <c r="C21" s="5"/>
      <c r="D21" s="5"/>
      <c r="E21" s="5"/>
      <c r="F21" s="5"/>
      <c r="G21" s="5"/>
      <c r="H21" s="5"/>
      <c r="I21" s="5"/>
    </row>
    <row r="22" customFormat="false" ht="15" hidden="false" customHeight="false" outlineLevel="0" collapsed="false">
      <c r="A22" s="108" t="s">
        <v>288</v>
      </c>
      <c r="B22" s="109" t="s">
        <v>266</v>
      </c>
      <c r="C22" s="109" t="s">
        <v>64</v>
      </c>
      <c r="D22" s="109" t="s">
        <v>66</v>
      </c>
      <c r="E22" s="5"/>
      <c r="F22" s="5"/>
      <c r="G22" s="5"/>
      <c r="H22" s="5"/>
      <c r="I22" s="5"/>
    </row>
    <row r="23" customFormat="false" ht="15" hidden="false" customHeight="false" outlineLevel="0" collapsed="false">
      <c r="A23" s="16" t="s">
        <v>220</v>
      </c>
      <c r="B23" s="127" t="n">
        <f aca="false">Forecast!C6</f>
        <v>151312</v>
      </c>
      <c r="C23" s="156"/>
      <c r="D23" s="128" t="str">
        <f aca="false">IF(C23="","",C23-B23)</f>
        <v/>
      </c>
      <c r="E23" s="5"/>
      <c r="F23" s="5"/>
      <c r="G23" s="5"/>
      <c r="H23" s="5"/>
      <c r="I23" s="25" t="s">
        <v>289</v>
      </c>
    </row>
    <row r="24" customFormat="false" ht="15" hidden="false" customHeight="false" outlineLevel="0" collapsed="false">
      <c r="A24" s="16" t="s">
        <v>290</v>
      </c>
      <c r="B24" s="130" t="n">
        <f aca="false">Forecast!C7</f>
        <v>19.9568837897853</v>
      </c>
      <c r="C24" s="131" t="str">
        <f aca="false">IF(OR(C23="",C5=""),"",C5*1000/C23)</f>
        <v/>
      </c>
      <c r="D24" s="131" t="str">
        <f aca="false">IF(C24="","",C24-B24)</f>
        <v/>
      </c>
      <c r="E24" s="5"/>
      <c r="F24" s="5"/>
      <c r="G24" s="5"/>
      <c r="H24" s="5"/>
      <c r="I24" s="5"/>
    </row>
    <row r="25" customFormat="false" ht="15" hidden="false" customHeight="false" outlineLevel="0" collapsed="false">
      <c r="A25" s="16" t="s">
        <v>291</v>
      </c>
      <c r="B25" s="5"/>
      <c r="C25" s="5"/>
      <c r="D25" s="134" t="str">
        <f aca="false">IF(C23="","",D23*B24/1000)</f>
        <v/>
      </c>
      <c r="E25" s="5"/>
      <c r="F25" s="5"/>
      <c r="G25" s="5"/>
      <c r="H25" s="5"/>
      <c r="I25" s="5"/>
    </row>
    <row r="26" customFormat="false" ht="15" hidden="false" customHeight="false" outlineLevel="0" collapsed="false">
      <c r="A26" s="16" t="s">
        <v>292</v>
      </c>
      <c r="B26" s="5"/>
      <c r="C26" s="5"/>
      <c r="D26" s="134" t="str">
        <f aca="false">IF(OR(D5="",D25=""),"",D5-D25)</f>
        <v/>
      </c>
      <c r="E26" s="5"/>
      <c r="F26" s="5"/>
      <c r="G26" s="5"/>
      <c r="H26" s="5"/>
      <c r="I26" s="5"/>
    </row>
    <row r="27" customFormat="false" ht="15" hidden="false" customHeight="false" outlineLevel="0" collapsed="false">
      <c r="A27" s="9" t="s">
        <v>293</v>
      </c>
      <c r="B27" s="5"/>
      <c r="C27" s="5"/>
      <c r="D27" s="140" t="str">
        <f aca="false">IF(D25="","",D25+D26)</f>
        <v/>
      </c>
      <c r="E27" s="5"/>
      <c r="F27" s="5"/>
      <c r="G27" s="5"/>
      <c r="H27" s="5"/>
      <c r="I27" s="5"/>
    </row>
    <row r="28" customFormat="false" ht="15" hidden="false" customHeight="false" outlineLevel="0" collapsed="false">
      <c r="A28" s="5"/>
      <c r="B28" s="5"/>
      <c r="C28" s="5"/>
      <c r="D28" s="5"/>
      <c r="E28" s="5"/>
      <c r="F28" s="5"/>
      <c r="G28" s="5"/>
      <c r="H28" s="5"/>
      <c r="I28" s="5"/>
    </row>
    <row r="29" customFormat="false" ht="15" hidden="false" customHeight="false" outlineLevel="0" collapsed="false">
      <c r="A29" s="5"/>
      <c r="B29" s="5"/>
      <c r="C29" s="5"/>
      <c r="D29" s="5"/>
      <c r="E29" s="5"/>
      <c r="F29" s="5"/>
      <c r="G29" s="5"/>
      <c r="H29" s="5"/>
      <c r="I29" s="5"/>
    </row>
    <row r="30" customFormat="false" ht="15" hidden="false" customHeight="false" outlineLevel="0" collapsed="false">
      <c r="A30" s="9" t="s">
        <v>294</v>
      </c>
      <c r="B30" s="5"/>
      <c r="C30" s="5"/>
      <c r="D30" s="5"/>
      <c r="E30" s="5"/>
      <c r="F30" s="5"/>
      <c r="G30" s="5"/>
      <c r="H30" s="5"/>
      <c r="I30" s="5"/>
    </row>
    <row r="31" customFormat="false" ht="15" hidden="false" customHeight="false" outlineLevel="0" collapsed="false">
      <c r="A31" s="157" t="s">
        <v>295</v>
      </c>
      <c r="B31" s="158"/>
      <c r="C31" s="158"/>
      <c r="D31" s="158"/>
      <c r="E31" s="158"/>
      <c r="F31" s="158"/>
      <c r="G31" s="158"/>
      <c r="H31" s="158"/>
      <c r="I31" s="158"/>
    </row>
    <row r="32" customFormat="false" ht="15" hidden="false" customHeight="false" outlineLevel="0" collapsed="false">
      <c r="A32" s="157" t="s">
        <v>296</v>
      </c>
      <c r="B32" s="158"/>
      <c r="C32" s="158"/>
      <c r="D32" s="158"/>
      <c r="E32" s="158"/>
      <c r="F32" s="158"/>
      <c r="G32" s="158"/>
      <c r="H32" s="158"/>
      <c r="I32" s="158"/>
    </row>
    <row r="33" customFormat="false" ht="15" hidden="false" customHeight="false" outlineLevel="0" collapsed="false">
      <c r="A33" s="157" t="s">
        <v>297</v>
      </c>
      <c r="B33" s="158"/>
      <c r="C33" s="158"/>
      <c r="D33" s="158"/>
      <c r="E33" s="158"/>
      <c r="F33" s="158"/>
      <c r="G33" s="158"/>
      <c r="H33" s="158"/>
      <c r="I33" s="158"/>
    </row>
    <row r="34" customFormat="false" ht="15" hidden="false" customHeight="false" outlineLevel="0" collapsed="false">
      <c r="A34" s="157" t="s">
        <v>298</v>
      </c>
      <c r="B34" s="158"/>
      <c r="C34" s="158"/>
      <c r="D34" s="158"/>
      <c r="E34" s="158"/>
      <c r="F34" s="158"/>
      <c r="G34" s="158"/>
      <c r="H34" s="158"/>
      <c r="I34" s="158"/>
    </row>
    <row r="35" customFormat="false" ht="15" hidden="false" customHeight="false" outlineLevel="0" collapsed="false">
      <c r="A35" s="157" t="s">
        <v>299</v>
      </c>
      <c r="B35" s="158"/>
      <c r="C35" s="158"/>
      <c r="D35" s="158"/>
      <c r="E35" s="158"/>
      <c r="F35" s="158"/>
      <c r="G35" s="158"/>
      <c r="H35" s="158"/>
      <c r="I35" s="158"/>
    </row>
    <row r="36" customFormat="false" ht="15" hidden="false" customHeight="false" outlineLevel="0" collapsed="false">
      <c r="A36" s="5"/>
      <c r="B36" s="5"/>
      <c r="C36" s="5"/>
      <c r="D36" s="5"/>
      <c r="E36" s="5"/>
      <c r="F36" s="5"/>
      <c r="G36" s="5"/>
      <c r="H36" s="5"/>
      <c r="I36" s="5"/>
    </row>
    <row r="37" customFormat="false" ht="15" hidden="false" customHeight="false" outlineLevel="0" collapsed="false">
      <c r="A37" s="5"/>
      <c r="B37" s="5"/>
      <c r="C37" s="5"/>
      <c r="D37" s="5"/>
      <c r="E37" s="5"/>
      <c r="F37" s="5"/>
      <c r="G37" s="5"/>
      <c r="H37" s="5"/>
      <c r="I37" s="5"/>
    </row>
    <row r="38" customFormat="false" ht="15" hidden="false" customHeight="false" outlineLevel="0" collapsed="false">
      <c r="A38" s="5"/>
      <c r="B38" s="5"/>
      <c r="C38" s="5"/>
      <c r="D38" s="5"/>
      <c r="E38" s="5"/>
      <c r="F38" s="5"/>
      <c r="G38" s="5"/>
      <c r="H38" s="5"/>
      <c r="I38" s="5"/>
    </row>
    <row r="39" customFormat="false" ht="15" hidden="false" customHeight="false" outlineLevel="0" collapsed="false">
      <c r="A39" s="5"/>
      <c r="B39" s="5"/>
      <c r="C39" s="5"/>
      <c r="D39" s="5"/>
      <c r="E39" s="5"/>
      <c r="F39" s="5"/>
      <c r="G39" s="5"/>
      <c r="H39" s="5"/>
      <c r="I39" s="5"/>
    </row>
    <row r="40" customFormat="false" ht="15" hidden="false" customHeight="false" outlineLevel="0" collapsed="false">
      <c r="A40" s="5"/>
      <c r="B40" s="5"/>
      <c r="C40" s="5"/>
      <c r="D40" s="5"/>
      <c r="E40" s="5"/>
      <c r="F40" s="5"/>
      <c r="G40" s="5"/>
      <c r="H40" s="5"/>
      <c r="I40" s="5"/>
    </row>
    <row r="41" customFormat="false" ht="15" hidden="false" customHeight="false" outlineLevel="0" collapsed="false">
      <c r="A41" s="5"/>
      <c r="B41" s="5"/>
      <c r="C41" s="5"/>
      <c r="D41" s="5"/>
      <c r="E41" s="5"/>
      <c r="F41" s="5"/>
      <c r="G41" s="5"/>
      <c r="H41" s="5"/>
      <c r="I41" s="5"/>
    </row>
    <row r="42" customFormat="false" ht="15" hidden="false" customHeight="false" outlineLevel="0" collapsed="false">
      <c r="A42" s="5"/>
      <c r="B42" s="5"/>
      <c r="C42" s="5"/>
      <c r="D42" s="5"/>
      <c r="E42" s="5"/>
      <c r="F42" s="5"/>
      <c r="G42" s="5"/>
      <c r="H42" s="5"/>
      <c r="I42" s="5"/>
    </row>
    <row r="43" customFormat="false" ht="15" hidden="false" customHeight="false" outlineLevel="0" collapsed="false">
      <c r="A43" s="5"/>
      <c r="B43" s="5"/>
      <c r="C43" s="5"/>
      <c r="D43" s="5"/>
      <c r="E43" s="5"/>
      <c r="F43" s="5"/>
      <c r="G43" s="5"/>
      <c r="H43" s="5"/>
      <c r="I43" s="5"/>
    </row>
    <row r="44" customFormat="false" ht="15" hidden="false" customHeight="false" outlineLevel="0" collapsed="false">
      <c r="A44" s="5"/>
      <c r="B44" s="5"/>
      <c r="C44" s="5"/>
      <c r="D44" s="5"/>
      <c r="E44" s="5"/>
      <c r="F44" s="5"/>
      <c r="G44" s="5"/>
      <c r="H44" s="5"/>
      <c r="I44" s="5"/>
    </row>
    <row r="45" customFormat="false" ht="15" hidden="false" customHeight="false" outlineLevel="0" collapsed="false">
      <c r="A45" s="5"/>
      <c r="B45" s="5"/>
      <c r="C45" s="5"/>
      <c r="D45" s="5"/>
      <c r="E45" s="5"/>
      <c r="F45" s="5"/>
      <c r="G45" s="5"/>
      <c r="H45" s="5"/>
      <c r="I45" s="5"/>
    </row>
    <row r="46" customFormat="false" ht="15" hidden="false" customHeight="false" outlineLevel="0" collapsed="false">
      <c r="A46" s="5"/>
      <c r="B46" s="5"/>
      <c r="C46" s="5"/>
      <c r="D46" s="5"/>
      <c r="E46" s="5"/>
      <c r="F46" s="5"/>
      <c r="G46" s="5"/>
      <c r="H46" s="5"/>
      <c r="I46" s="5"/>
    </row>
    <row r="47" customFormat="false" ht="15" hidden="false" customHeight="false" outlineLevel="0" collapsed="false">
      <c r="A47" s="5"/>
      <c r="B47" s="5"/>
      <c r="C47" s="5"/>
      <c r="D47" s="5"/>
      <c r="E47" s="5"/>
      <c r="F47" s="5"/>
      <c r="G47" s="5"/>
      <c r="H47" s="5"/>
      <c r="I47" s="5"/>
    </row>
    <row r="48" customFormat="false" ht="15" hidden="false" customHeight="false" outlineLevel="0" collapsed="false">
      <c r="A48" s="5"/>
      <c r="B48" s="5"/>
      <c r="C48" s="5"/>
      <c r="D48" s="5"/>
      <c r="E48" s="5"/>
      <c r="F48" s="5"/>
      <c r="G48" s="5"/>
      <c r="H48" s="5"/>
      <c r="I48" s="5"/>
    </row>
    <row r="49" customFormat="false" ht="15" hidden="false" customHeight="false" outlineLevel="0" collapsed="false">
      <c r="A49" s="5"/>
      <c r="B49" s="5"/>
      <c r="C49" s="5"/>
      <c r="D49" s="5"/>
      <c r="E49" s="5"/>
      <c r="F49" s="5"/>
      <c r="G49" s="5"/>
      <c r="H49" s="5"/>
      <c r="I49" s="5"/>
    </row>
    <row r="50" customFormat="false" ht="15" hidden="false" customHeight="false" outlineLevel="0" collapsed="false">
      <c r="A50" s="5"/>
      <c r="B50" s="5"/>
      <c r="C50" s="5"/>
      <c r="D50" s="5"/>
      <c r="E50" s="5"/>
      <c r="F50" s="5"/>
      <c r="G50" s="5"/>
      <c r="H50" s="5"/>
      <c r="I50" s="5"/>
    </row>
    <row r="51" customFormat="false" ht="15" hidden="false" customHeight="false" outlineLevel="0" collapsed="false">
      <c r="A51" s="5"/>
      <c r="B51" s="5"/>
      <c r="C51" s="5"/>
      <c r="D51" s="5"/>
      <c r="E51" s="5"/>
      <c r="F51" s="5"/>
      <c r="G51" s="5"/>
      <c r="H51" s="5"/>
      <c r="I51" s="5"/>
    </row>
    <row r="52" customFormat="false" ht="15" hidden="false" customHeight="false" outlineLevel="0" collapsed="false">
      <c r="A52" s="5"/>
      <c r="B52" s="5"/>
      <c r="C52" s="5"/>
      <c r="D52" s="5"/>
      <c r="E52" s="5"/>
      <c r="F52" s="5"/>
      <c r="G52" s="5"/>
      <c r="H52" s="5"/>
      <c r="I52" s="5"/>
    </row>
    <row r="53" customFormat="false" ht="15" hidden="false" customHeight="false" outlineLevel="0" collapsed="false">
      <c r="A53" s="5"/>
      <c r="B53" s="5"/>
      <c r="C53" s="5"/>
      <c r="D53" s="5"/>
      <c r="E53" s="5"/>
      <c r="F53" s="5"/>
      <c r="G53" s="5"/>
      <c r="H53" s="5"/>
      <c r="I53" s="5"/>
    </row>
    <row r="54" customFormat="false" ht="15" hidden="false" customHeight="false" outlineLevel="0" collapsed="false">
      <c r="A54" s="5"/>
      <c r="B54" s="5"/>
      <c r="C54" s="5"/>
      <c r="D54" s="5"/>
      <c r="E54" s="5"/>
      <c r="F54" s="5"/>
      <c r="G54" s="5"/>
      <c r="H54" s="5"/>
      <c r="I54" s="5"/>
    </row>
    <row r="55" customFormat="false" ht="15" hidden="false" customHeight="false" outlineLevel="0" collapsed="false">
      <c r="A55" s="5"/>
      <c r="B55" s="5"/>
      <c r="C55" s="5"/>
      <c r="D55" s="5"/>
      <c r="E55" s="5"/>
      <c r="F55" s="5"/>
      <c r="G55" s="5"/>
      <c r="H55" s="5"/>
      <c r="I55" s="5"/>
    </row>
    <row r="56" customFormat="false" ht="15" hidden="false" customHeight="false" outlineLevel="0" collapsed="false">
      <c r="A56" s="5"/>
      <c r="B56" s="5"/>
      <c r="C56" s="5"/>
      <c r="D56" s="5"/>
      <c r="E56" s="5"/>
      <c r="F56" s="5"/>
      <c r="G56" s="5"/>
      <c r="H56" s="5"/>
      <c r="I56" s="5"/>
    </row>
    <row r="57" customFormat="false" ht="15" hidden="false" customHeight="false" outlineLevel="0" collapsed="false">
      <c r="A57" s="5"/>
      <c r="B57" s="5"/>
      <c r="C57" s="5"/>
      <c r="D57" s="5"/>
      <c r="E57" s="5"/>
      <c r="F57" s="5"/>
      <c r="G57" s="5"/>
      <c r="H57" s="5"/>
      <c r="I57" s="5"/>
    </row>
    <row r="58" customFormat="false" ht="15" hidden="false" customHeight="false" outlineLevel="0" collapsed="false">
      <c r="A58" s="5"/>
      <c r="B58" s="5"/>
      <c r="C58" s="5"/>
      <c r="D58" s="5"/>
      <c r="E58" s="5"/>
      <c r="F58" s="5"/>
      <c r="G58" s="5"/>
      <c r="H58" s="5"/>
      <c r="I58" s="5"/>
    </row>
    <row r="59" customFormat="false" ht="15" hidden="false" customHeight="false" outlineLevel="0" collapsed="false">
      <c r="A59" s="5"/>
      <c r="B59" s="5"/>
      <c r="C59" s="5"/>
      <c r="D59" s="5"/>
      <c r="E59" s="5"/>
      <c r="F59" s="5"/>
      <c r="G59" s="5"/>
      <c r="H59" s="5"/>
      <c r="I59" s="5"/>
    </row>
    <row r="60" customFormat="false" ht="15" hidden="false" customHeight="false" outlineLevel="0" collapsed="false">
      <c r="A60" s="5"/>
      <c r="B60" s="5"/>
      <c r="C60" s="5"/>
      <c r="D60" s="5"/>
      <c r="E60" s="5"/>
      <c r="F60" s="5"/>
      <c r="G60" s="5"/>
      <c r="H60" s="5"/>
      <c r="I60" s="5"/>
    </row>
  </sheetData>
  <mergeCells count="1">
    <mergeCell ref="A3:I3"/>
  </mergeCells>
  <conditionalFormatting sqref="A3:I3">
    <cfRule type="expression" priority="2" aboveAverage="0" equalAverage="0" bottom="0" percent="0" rank="0" text="" dxfId="4">
      <formula>ISNUMBER(SEARCH("Waiting",$A$3))</formula>
    </cfRule>
    <cfRule type="expression" priority="3" aboveAverage="0" equalAverage="0" bottom="0" percent="0" rank="0" text="" dxfId="3">
      <formula>ISNUMBER(SEARCH("MISSED",$A$3))</formula>
    </cfRule>
    <cfRule type="expression" priority="4" aboveAverage="0" equalAverage="0" bottom="0" percent="0" rank="0" text="" dxfId="2">
      <formula>AND(NOT(ISNUMBER(SEARCH("MISSED",$A$3))),ISNUMBER(SEARCH("BEAT",$A$3)))</formula>
    </cfRule>
  </conditionalFormatting>
  <conditionalFormatting sqref="D5:F11">
    <cfRule type="expression" priority="5" aboveAverage="0" equalAverage="0" bottom="0" percent="0" rank="0" text="" dxfId="7">
      <formula>AND(ISNUMBER(D5),D5&gt;0)</formula>
    </cfRule>
    <cfRule type="expression" priority="6" aboveAverage="0" equalAverage="0" bottom="0" percent="0" rank="0" text="" dxfId="8">
      <formula>AND(ISNUMBER(D5),D5&lt;0)</formula>
    </cfRule>
  </conditionalFormatting>
  <conditionalFormatting sqref="D14:F20">
    <cfRule type="expression" priority="7" aboveAverage="0" equalAverage="0" bottom="0" percent="0" rank="0" text="" dxfId="7">
      <formula>AND(ISNUMBER(D14),D14&gt;0)</formula>
    </cfRule>
    <cfRule type="expression" priority="8" aboveAverage="0" equalAverage="0" bottom="0" percent="0" rank="0" text="" dxfId="8">
      <formula>AND(ISNUMBER(D14),D14&lt;0)</formula>
    </cfRule>
  </conditionalFormatting>
  <conditionalFormatting sqref="D23:D27">
    <cfRule type="expression" priority="9" aboveAverage="0" equalAverage="0" bottom="0" percent="0" rank="0" text="" dxfId="7">
      <formula>AND(ISNUMBER(D23),D23&gt;0)</formula>
    </cfRule>
    <cfRule type="expression" priority="10" aboveAverage="0" equalAverage="0" bottom="0" percent="0" rank="0" text="" dxfId="8">
      <formula>AND(ISNUMBER(D23),D23&lt;0)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5"/>
  </cols>
  <sheetData>
    <row r="1" customFormat="false" ht="16.15" hidden="false" customHeight="false" outlineLevel="0" collapsed="false">
      <c r="A1" s="159" t="s">
        <v>300</v>
      </c>
      <c r="B1" s="1"/>
      <c r="C1" s="1"/>
      <c r="D1" s="1"/>
      <c r="E1" s="1"/>
      <c r="F1" s="1"/>
      <c r="G1" s="1"/>
      <c r="H1" s="1"/>
    </row>
    <row r="2" customFormat="false" ht="15" hidden="false" customHeight="false" outlineLevel="0" collapsed="false">
      <c r="A2" s="25" t="s">
        <v>301</v>
      </c>
      <c r="B2" s="5"/>
      <c r="C2" s="5"/>
      <c r="D2" s="5"/>
      <c r="E2" s="5"/>
      <c r="F2" s="5"/>
      <c r="G2" s="5"/>
      <c r="H2" s="5"/>
    </row>
    <row r="3" customFormat="false" ht="15" hidden="false" customHeight="false" outlineLevel="0" collapsed="false">
      <c r="A3" s="160" t="str">
        <f aca="false">HYPERLINK("#'Dashboard'!A1","← Back to Dashboard")</f>
        <v>← Back to Dashboard</v>
      </c>
      <c r="B3" s="7"/>
      <c r="C3" s="7"/>
      <c r="D3" s="7"/>
      <c r="E3" s="7"/>
      <c r="F3" s="7"/>
      <c r="G3" s="7"/>
      <c r="H3" s="5"/>
    </row>
    <row r="4" customFormat="false" ht="23.85" hidden="false" customHeight="false" outlineLevel="0" collapsed="false">
      <c r="A4" s="108" t="s">
        <v>60</v>
      </c>
      <c r="B4" s="109" t="s">
        <v>302</v>
      </c>
      <c r="C4" s="109" t="s">
        <v>303</v>
      </c>
      <c r="D4" s="109" t="s">
        <v>304</v>
      </c>
      <c r="E4" s="109" t="s">
        <v>64</v>
      </c>
      <c r="F4" s="109" t="s">
        <v>305</v>
      </c>
      <c r="G4" s="109" t="s">
        <v>306</v>
      </c>
      <c r="H4" s="5"/>
    </row>
    <row r="5" customFormat="false" ht="15" hidden="false" customHeight="false" outlineLevel="0" collapsed="false">
      <c r="A5" s="16" t="s">
        <v>43</v>
      </c>
      <c r="B5" s="133" t="n">
        <f aca="false">Historicals!D45</f>
        <v>2913</v>
      </c>
      <c r="C5" s="129" t="n">
        <f aca="false">Historicals!C6/Historicals!C45-1</f>
        <v>-0.0799746112345288</v>
      </c>
      <c r="D5" s="134" t="n">
        <f aca="false">B5*(1+C5)</f>
        <v>2680.03395747382</v>
      </c>
      <c r="E5" s="133" t="n">
        <f aca="false">Historicals!D6</f>
        <v>2605</v>
      </c>
      <c r="F5" s="161" t="n">
        <f aca="false">D5/E5-1</f>
        <v>0.0288038224467631</v>
      </c>
      <c r="G5" s="129" t="n">
        <f aca="false">ABS(F5)</f>
        <v>0.0288038224467631</v>
      </c>
      <c r="H5" s="5"/>
    </row>
    <row r="6" customFormat="false" ht="15" hidden="false" customHeight="false" outlineLevel="0" collapsed="false">
      <c r="A6" s="16" t="s">
        <v>45</v>
      </c>
      <c r="B6" s="133" t="n">
        <f aca="false">Historicals!D46</f>
        <v>2724</v>
      </c>
      <c r="C6" s="129" t="n">
        <f aca="false">Historicals!C7/Historicals!C46-1</f>
        <v>-0.0928906773977196</v>
      </c>
      <c r="D6" s="134" t="n">
        <f aca="false">B6*(1+C6)</f>
        <v>2470.96579476861</v>
      </c>
      <c r="E6" s="133" t="n">
        <f aca="false">Historicals!D7</f>
        <v>2329</v>
      </c>
      <c r="F6" s="161" t="n">
        <f aca="false">D6/E6-1</f>
        <v>0.0609556868907737</v>
      </c>
      <c r="G6" s="129" t="n">
        <f aca="false">ABS(F6)</f>
        <v>0.0609556868907737</v>
      </c>
      <c r="H6" s="5"/>
    </row>
    <row r="7" customFormat="false" ht="15" hidden="false" customHeight="false" outlineLevel="0" collapsed="false">
      <c r="A7" s="16" t="s">
        <v>46</v>
      </c>
      <c r="B7" s="133" t="n">
        <f aca="false">Historicals!D47</f>
        <v>2952</v>
      </c>
      <c r="C7" s="129" t="n">
        <f aca="false">Historicals!C8/Historicals!C47-1</f>
        <v>0.0749381406857548</v>
      </c>
      <c r="D7" s="134" t="n">
        <f aca="false">B7*(1+C7)</f>
        <v>3173.21739130435</v>
      </c>
      <c r="E7" s="133" t="n">
        <f aca="false">Historicals!D8</f>
        <v>3172</v>
      </c>
      <c r="F7" s="161" t="n">
        <f aca="false">D7/E7-1</f>
        <v>0.000383792971105912</v>
      </c>
      <c r="G7" s="129" t="n">
        <f aca="false">ABS(F7)</f>
        <v>0.000383792971105912</v>
      </c>
      <c r="H7" s="5"/>
    </row>
    <row r="8" customFormat="false" ht="15" hidden="false" customHeight="false" outlineLevel="0" collapsed="false">
      <c r="A8" s="16" t="s">
        <v>47</v>
      </c>
      <c r="B8" s="133" t="n">
        <f aca="false">Historicals!D48</f>
        <v>1687</v>
      </c>
      <c r="C8" s="129" t="n">
        <f aca="false">Historicals!C9/Historicals!C48-1</f>
        <v>0.188797986154814</v>
      </c>
      <c r="D8" s="134" t="n">
        <f aca="false">B8*(1+C8)</f>
        <v>2005.50220264317</v>
      </c>
      <c r="E8" s="133" t="n">
        <f aca="false">Historicals!D9</f>
        <v>1996</v>
      </c>
      <c r="F8" s="161" t="n">
        <f aca="false">D8/E8-1</f>
        <v>0.00476062256671939</v>
      </c>
      <c r="G8" s="129" t="n">
        <f aca="false">ABS(F8)</f>
        <v>0.00476062256671939</v>
      </c>
      <c r="H8" s="5"/>
    </row>
    <row r="9" customFormat="false" ht="15" hidden="false" customHeight="false" outlineLevel="0" collapsed="false">
      <c r="A9" s="9" t="s">
        <v>307</v>
      </c>
      <c r="B9" s="5"/>
      <c r="C9" s="5"/>
      <c r="D9" s="140" t="n">
        <f aca="false">SUM(D5:D8)</f>
        <v>10329.71934619</v>
      </c>
      <c r="E9" s="140" t="n">
        <f aca="false">SUM(E5:E8)</f>
        <v>10102</v>
      </c>
      <c r="F9" s="151" t="n">
        <f aca="false">D9/E9-1</f>
        <v>0.0225420061562016</v>
      </c>
      <c r="G9" s="141" t="n">
        <f aca="false">ABS(F9)</f>
        <v>0.0225420061562016</v>
      </c>
      <c r="H9" s="5"/>
    </row>
    <row r="10" customFormat="false" ht="15" hidden="false" customHeight="false" outlineLevel="0" collapsed="false">
      <c r="A10" s="5"/>
      <c r="B10" s="5"/>
      <c r="C10" s="5"/>
      <c r="D10" s="5"/>
      <c r="E10" s="5"/>
      <c r="F10" s="5"/>
      <c r="G10" s="5"/>
      <c r="H10" s="5"/>
    </row>
    <row r="11" customFormat="false" ht="15" hidden="false" customHeight="false" outlineLevel="0" collapsed="false">
      <c r="A11" s="126" t="s">
        <v>308</v>
      </c>
      <c r="B11" s="7"/>
      <c r="C11" s="7"/>
      <c r="D11" s="7"/>
      <c r="E11" s="7"/>
      <c r="F11" s="7"/>
      <c r="G11" s="7"/>
      <c r="H11" s="5"/>
    </row>
    <row r="12" customFormat="false" ht="15" hidden="false" customHeight="false" outlineLevel="0" collapsed="false">
      <c r="A12" s="25" t="s">
        <v>309</v>
      </c>
      <c r="B12" s="5"/>
      <c r="C12" s="5"/>
      <c r="D12" s="5"/>
      <c r="E12" s="5"/>
      <c r="F12" s="5"/>
      <c r="G12" s="5"/>
      <c r="H12" s="5"/>
    </row>
    <row r="13" customFormat="false" ht="15" hidden="false" customHeight="false" outlineLevel="0" collapsed="false">
      <c r="A13" s="9" t="s">
        <v>310</v>
      </c>
      <c r="B13" s="5"/>
      <c r="C13" s="5"/>
      <c r="D13" s="5"/>
      <c r="E13" s="5"/>
      <c r="F13" s="5"/>
      <c r="G13" s="141" t="n">
        <f aca="false">MAX(G5:G8,G18:G21)</f>
        <v>0.0764680534159736</v>
      </c>
      <c r="H13" s="5"/>
    </row>
    <row r="14" customFormat="false" ht="15" hidden="false" customHeight="false" outlineLevel="0" collapsed="false">
      <c r="A14" s="9" t="s">
        <v>311</v>
      </c>
      <c r="B14" s="5"/>
      <c r="C14" s="5"/>
      <c r="D14" s="5"/>
      <c r="E14" s="5"/>
      <c r="F14" s="5"/>
      <c r="G14" s="141" t="n">
        <f aca="false">MAX(G9,G22)</f>
        <v>0.0225420061562016</v>
      </c>
      <c r="H14" s="5"/>
    </row>
    <row r="15" customFormat="false" ht="15" hidden="false" customHeight="false" outlineLevel="0" collapsed="false">
      <c r="A15" s="5"/>
      <c r="B15" s="5"/>
      <c r="C15" s="5"/>
      <c r="D15" s="5"/>
      <c r="E15" s="5"/>
      <c r="F15" s="5"/>
      <c r="G15" s="5"/>
      <c r="H15" s="5"/>
    </row>
    <row r="16" customFormat="false" ht="15" hidden="false" customHeight="false" outlineLevel="0" collapsed="false">
      <c r="A16" s="126" t="s">
        <v>312</v>
      </c>
      <c r="B16" s="7"/>
      <c r="C16" s="7"/>
      <c r="D16" s="7"/>
      <c r="E16" s="7"/>
      <c r="F16" s="7"/>
      <c r="G16" s="7"/>
      <c r="H16" s="5"/>
    </row>
    <row r="17" customFormat="false" ht="23.85" hidden="false" customHeight="false" outlineLevel="0" collapsed="false">
      <c r="A17" s="108" t="s">
        <v>60</v>
      </c>
      <c r="B17" s="109" t="s">
        <v>302</v>
      </c>
      <c r="C17" s="109" t="s">
        <v>303</v>
      </c>
      <c r="D17" s="109" t="s">
        <v>304</v>
      </c>
      <c r="E17" s="109" t="s">
        <v>64</v>
      </c>
      <c r="F17" s="109" t="s">
        <v>305</v>
      </c>
      <c r="G17" s="109" t="s">
        <v>306</v>
      </c>
      <c r="H17" s="5"/>
    </row>
    <row r="18" customFormat="false" ht="15" hidden="false" customHeight="false" outlineLevel="0" collapsed="false">
      <c r="A18" s="16" t="s">
        <v>43</v>
      </c>
      <c r="B18" s="133" t="n">
        <f aca="false">Historicals!E45</f>
        <v>2720</v>
      </c>
      <c r="C18" s="129" t="n">
        <f aca="false">Historicals!D6/Historicals!D45-1</f>
        <v>-0.105732921386886</v>
      </c>
      <c r="D18" s="134" t="n">
        <f aca="false">B18*(1+C18)</f>
        <v>2432.40645382767</v>
      </c>
      <c r="E18" s="133" t="n">
        <f aca="false">Historicals!E6</f>
        <v>2600</v>
      </c>
      <c r="F18" s="161" t="n">
        <f aca="false">D18/E18-1</f>
        <v>-0.0644590562201274</v>
      </c>
      <c r="G18" s="129" t="n">
        <f aca="false">ABS(F18)</f>
        <v>0.0644590562201274</v>
      </c>
      <c r="H18" s="5"/>
    </row>
    <row r="19" customFormat="false" ht="15" hidden="false" customHeight="false" outlineLevel="0" collapsed="false">
      <c r="A19" s="16" t="s">
        <v>45</v>
      </c>
      <c r="B19" s="133" t="n">
        <f aca="false">Historicals!E46</f>
        <v>2641</v>
      </c>
      <c r="C19" s="129" t="n">
        <f aca="false">Historicals!D7/Historicals!D46-1</f>
        <v>-0.145007342143906</v>
      </c>
      <c r="D19" s="134" t="n">
        <f aca="false">B19*(1+C19)</f>
        <v>2258.03560939794</v>
      </c>
      <c r="E19" s="133" t="n">
        <f aca="false">Historicals!E7</f>
        <v>2445</v>
      </c>
      <c r="F19" s="161" t="n">
        <f aca="false">D19/E19-1</f>
        <v>-0.0764680534159736</v>
      </c>
      <c r="G19" s="129" t="n">
        <f aca="false">ABS(F19)</f>
        <v>0.0764680534159736</v>
      </c>
      <c r="H19" s="5"/>
    </row>
    <row r="20" customFormat="false" ht="15" hidden="false" customHeight="false" outlineLevel="0" collapsed="false">
      <c r="A20" s="16" t="s">
        <v>46</v>
      </c>
      <c r="B20" s="133" t="n">
        <f aca="false">Historicals!E47</f>
        <v>3068</v>
      </c>
      <c r="C20" s="129" t="n">
        <f aca="false">Historicals!D8/Historicals!D47-1</f>
        <v>0.0745257452574526</v>
      </c>
      <c r="D20" s="134" t="n">
        <f aca="false">B20*(1+C20)</f>
        <v>3296.64498644986</v>
      </c>
      <c r="E20" s="133" t="n">
        <f aca="false">Historicals!E8</f>
        <v>3285</v>
      </c>
      <c r="F20" s="161" t="n">
        <f aca="false">D20/E20-1</f>
        <v>0.00354489694059801</v>
      </c>
      <c r="G20" s="129" t="n">
        <f aca="false">ABS(F20)</f>
        <v>0.00354489694059801</v>
      </c>
      <c r="H20" s="5"/>
    </row>
    <row r="21" customFormat="false" ht="15" hidden="false" customHeight="false" outlineLevel="0" collapsed="false">
      <c r="A21" s="16" t="s">
        <v>47</v>
      </c>
      <c r="B21" s="133" t="n">
        <f aca="false">Historicals!E48</f>
        <v>1743</v>
      </c>
      <c r="C21" s="129" t="n">
        <f aca="false">Historicals!D9/Historicals!D48-1</f>
        <v>0.183165382335507</v>
      </c>
      <c r="D21" s="134" t="n">
        <f aca="false">B21*(1+C21)</f>
        <v>2062.25726141079</v>
      </c>
      <c r="E21" s="133" t="n">
        <f aca="false">Historicals!E9</f>
        <v>1929</v>
      </c>
      <c r="F21" s="161" t="n">
        <f aca="false">D21/E21-1</f>
        <v>0.0690810064337939</v>
      </c>
      <c r="G21" s="129" t="n">
        <f aca="false">ABS(F21)</f>
        <v>0.0690810064337939</v>
      </c>
      <c r="H21" s="5"/>
    </row>
    <row r="22" customFormat="false" ht="15" hidden="false" customHeight="false" outlineLevel="0" collapsed="false">
      <c r="A22" s="9" t="s">
        <v>307</v>
      </c>
      <c r="B22" s="5"/>
      <c r="C22" s="5"/>
      <c r="D22" s="140" t="n">
        <f aca="false">SUM(D18:D21)</f>
        <v>10049.3443110863</v>
      </c>
      <c r="E22" s="140" t="n">
        <f aca="false">SUM(E18:E21)</f>
        <v>10259</v>
      </c>
      <c r="F22" s="151" t="n">
        <f aca="false">D22/E22-1</f>
        <v>-0.0204362695110375</v>
      </c>
      <c r="G22" s="141" t="n">
        <f aca="false">ABS(F22)</f>
        <v>0.0204362695110375</v>
      </c>
      <c r="H22" s="5"/>
    </row>
    <row r="23" customFormat="false" ht="15" hidden="false" customHeight="false" outlineLevel="0" collapsed="false">
      <c r="A23" s="5"/>
      <c r="B23" s="5"/>
      <c r="C23" s="5"/>
      <c r="D23" s="5"/>
      <c r="E23" s="5"/>
      <c r="F23" s="5"/>
      <c r="G23" s="5"/>
      <c r="H23" s="5"/>
    </row>
    <row r="24" customFormat="false" ht="15" hidden="false" customHeight="false" outlineLevel="0" collapsed="false">
      <c r="A24" s="25" t="s">
        <v>313</v>
      </c>
      <c r="B24" s="5"/>
      <c r="C24" s="5"/>
      <c r="D24" s="5"/>
      <c r="E24" s="5"/>
      <c r="F24" s="5"/>
      <c r="G24" s="5"/>
      <c r="H24"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11"/>
    <col collapsed="false" customWidth="true" hidden="false" outlineLevel="0" max="6" min="6" style="0" width="90"/>
  </cols>
  <sheetData>
    <row r="1" customFormat="false" ht="16.15" hidden="false" customHeight="false" outlineLevel="0" collapsed="false">
      <c r="A1" s="159" t="s">
        <v>314</v>
      </c>
      <c r="B1" s="1"/>
      <c r="C1" s="1"/>
      <c r="D1" s="1"/>
      <c r="E1" s="1"/>
      <c r="F1" s="1"/>
    </row>
    <row r="2" customFormat="false" ht="15" hidden="false" customHeight="false" outlineLevel="0" collapsed="false">
      <c r="A2" s="25" t="s">
        <v>315</v>
      </c>
      <c r="B2" s="5"/>
      <c r="C2" s="5"/>
      <c r="D2" s="5"/>
      <c r="E2" s="5"/>
      <c r="F2" s="5"/>
    </row>
    <row r="3" customFormat="false" ht="15" hidden="false" customHeight="false" outlineLevel="0" collapsed="false">
      <c r="A3" s="11" t="str">
        <f aca="false">HYPERLINK("#'Dashboard'!A1","← Back to Dashboard")</f>
        <v>← Back to Dashboard</v>
      </c>
      <c r="B3" s="5"/>
      <c r="C3" s="5"/>
      <c r="D3" s="5"/>
      <c r="E3" s="5"/>
      <c r="F3" s="5"/>
    </row>
    <row r="4" customFormat="false" ht="15" hidden="false" customHeight="false" outlineLevel="0" collapsed="false">
      <c r="A4" s="108" t="s">
        <v>129</v>
      </c>
      <c r="B4" s="109" t="s">
        <v>316</v>
      </c>
      <c r="C4" s="109" t="s">
        <v>317</v>
      </c>
      <c r="D4" s="109" t="s">
        <v>318</v>
      </c>
      <c r="E4" s="109" t="s">
        <v>319</v>
      </c>
      <c r="F4" s="109" t="s">
        <v>320</v>
      </c>
    </row>
    <row r="5" customFormat="false" ht="15" hidden="false" customHeight="false" outlineLevel="0" collapsed="false">
      <c r="A5" s="16" t="s">
        <v>133</v>
      </c>
      <c r="B5" s="162" t="n">
        <v>0.13</v>
      </c>
      <c r="C5" s="162" t="n">
        <v>0.18</v>
      </c>
      <c r="D5" s="143" t="n">
        <f aca="false">Inputs!B6</f>
        <v>0.12</v>
      </c>
      <c r="E5" s="143" t="n">
        <f aca="false">Inputs!C6</f>
        <v>0.19</v>
      </c>
      <c r="F5" s="16" t="s">
        <v>321</v>
      </c>
    </row>
    <row r="6" customFormat="false" ht="15" hidden="false" customHeight="false" outlineLevel="0" collapsed="false">
      <c r="A6" s="16" t="s">
        <v>137</v>
      </c>
      <c r="B6" s="162" t="n">
        <v>0.125</v>
      </c>
      <c r="C6" s="162" t="n">
        <v>0.135</v>
      </c>
      <c r="D6" s="143" t="n">
        <f aca="false">Inputs!B8</f>
        <v>0.136</v>
      </c>
      <c r="E6" s="143" t="n">
        <f aca="false">Inputs!C8</f>
        <v>0.146</v>
      </c>
      <c r="F6" s="16" t="s">
        <v>322</v>
      </c>
    </row>
    <row r="7" customFormat="false" ht="15" hidden="false" customHeight="false" outlineLevel="0" collapsed="false">
      <c r="A7" s="16" t="s">
        <v>139</v>
      </c>
      <c r="B7" s="162" t="n">
        <v>0.17</v>
      </c>
      <c r="C7" s="162" t="n">
        <v>0.2</v>
      </c>
      <c r="D7" s="143" t="n">
        <f aca="false">Inputs!B10</f>
        <v>0.16</v>
      </c>
      <c r="E7" s="143" t="n">
        <f aca="false">Inputs!C10</f>
        <v>0.23</v>
      </c>
      <c r="F7" s="16" t="s">
        <v>323</v>
      </c>
    </row>
    <row r="8" customFormat="false" ht="15" hidden="false" customHeight="false" outlineLevel="0" collapsed="false">
      <c r="A8" s="16" t="s">
        <v>141</v>
      </c>
      <c r="B8" s="162" t="n">
        <v>0.135</v>
      </c>
      <c r="C8" s="162" t="n">
        <v>0.14</v>
      </c>
      <c r="D8" s="143" t="n">
        <f aca="false">Inputs!B11</f>
        <v>0.1425</v>
      </c>
      <c r="E8" s="143" t="n">
        <f aca="false">Inputs!C11</f>
        <v>0.1475</v>
      </c>
      <c r="F8" s="16" t="s">
        <v>324</v>
      </c>
    </row>
    <row r="9" customFormat="false" ht="15" hidden="false" customHeight="false" outlineLevel="0" collapsed="false">
      <c r="A9" s="16" t="s">
        <v>143</v>
      </c>
      <c r="B9" s="162" t="n">
        <v>0.11</v>
      </c>
      <c r="C9" s="162" t="n">
        <v>0.11</v>
      </c>
      <c r="D9" s="143" t="n">
        <f aca="false">Inputs!B13</f>
        <v>0.11</v>
      </c>
      <c r="E9" s="143" t="n">
        <f aca="false">Inputs!C13</f>
        <v>0.15</v>
      </c>
      <c r="F9" s="16" t="s">
        <v>325</v>
      </c>
    </row>
    <row r="10" customFormat="false" ht="15" hidden="false" customHeight="false" outlineLevel="0" collapsed="false">
      <c r="A10" s="16" t="s">
        <v>145</v>
      </c>
      <c r="B10" s="162" t="n">
        <v>0.142</v>
      </c>
      <c r="C10" s="162" t="n">
        <v>0.142</v>
      </c>
      <c r="D10" s="143" t="n">
        <f aca="false">Inputs!B14</f>
        <v>0.139</v>
      </c>
      <c r="E10" s="143" t="n">
        <f aca="false">Inputs!C14</f>
        <v>0.139</v>
      </c>
      <c r="F10" s="16" t="s">
        <v>326</v>
      </c>
    </row>
    <row r="11" customFormat="false" ht="15" hidden="false" customHeight="false" outlineLevel="0" collapsed="false">
      <c r="A11" s="16" t="s">
        <v>147</v>
      </c>
      <c r="B11" s="162" t="n">
        <v>0.19</v>
      </c>
      <c r="C11" s="162" t="n">
        <v>0.19</v>
      </c>
      <c r="D11" s="143" t="n">
        <f aca="false">Inputs!B16</f>
        <v>0.18</v>
      </c>
      <c r="E11" s="143" t="n">
        <f aca="false">Inputs!C16</f>
        <v>0.15</v>
      </c>
      <c r="F11" s="16" t="s">
        <v>327</v>
      </c>
    </row>
    <row r="12" customFormat="false" ht="15" hidden="false" customHeight="false" outlineLevel="0" collapsed="false">
      <c r="A12" s="16" t="s">
        <v>149</v>
      </c>
      <c r="B12" s="162" t="n">
        <v>0.255</v>
      </c>
      <c r="C12" s="162" t="n">
        <v>0.255</v>
      </c>
      <c r="D12" s="143" t="n">
        <f aca="false">Inputs!B17</f>
        <v>0.24</v>
      </c>
      <c r="E12" s="143" t="n">
        <f aca="false">Inputs!C17</f>
        <v>0.242</v>
      </c>
      <c r="F12" s="16" t="s">
        <v>328</v>
      </c>
    </row>
    <row r="13" customFormat="false" ht="15" hidden="false" customHeight="false" outlineLevel="0" collapsed="false">
      <c r="A13" s="16" t="s">
        <v>152</v>
      </c>
      <c r="B13" s="162" t="n">
        <v>0.1</v>
      </c>
      <c r="C13" s="162" t="n">
        <v>0.1</v>
      </c>
      <c r="D13" s="143" t="n">
        <f aca="false">Inputs!B19</f>
        <v>-0.46</v>
      </c>
      <c r="E13" s="143" t="n">
        <f aca="false">Inputs!C19</f>
        <v>-0.5</v>
      </c>
      <c r="F13" s="16" t="s">
        <v>329</v>
      </c>
    </row>
    <row r="14" customFormat="false" ht="15" hidden="false" customHeight="false" outlineLevel="0" collapsed="false">
      <c r="A14" s="16" t="s">
        <v>154</v>
      </c>
      <c r="B14" s="142" t="n">
        <v>-70</v>
      </c>
      <c r="C14" s="142" t="n">
        <v>-65</v>
      </c>
      <c r="D14" s="133" t="n">
        <f aca="false">Inputs!B20</f>
        <v>-65</v>
      </c>
      <c r="E14" s="133" t="n">
        <f aca="false">Inputs!C20</f>
        <v>-65</v>
      </c>
      <c r="F14" s="16" t="s">
        <v>330</v>
      </c>
    </row>
    <row r="15" customFormat="false" ht="15" hidden="false" customHeight="false" outlineLevel="0" collapsed="false">
      <c r="A15" s="16" t="s">
        <v>156</v>
      </c>
      <c r="B15" s="162" t="n">
        <v>0.19</v>
      </c>
      <c r="C15" s="162" t="n">
        <v>0.19</v>
      </c>
      <c r="D15" s="143" t="n">
        <f aca="false">Inputs!B21</f>
        <v>0.187</v>
      </c>
      <c r="E15" s="143" t="n">
        <f aca="false">Inputs!C21</f>
        <v>0.187</v>
      </c>
      <c r="F15" s="16" t="s">
        <v>331</v>
      </c>
    </row>
    <row r="16" customFormat="false" ht="15" hidden="false" customHeight="false" outlineLevel="0" collapsed="false">
      <c r="A16" s="16" t="s">
        <v>158</v>
      </c>
      <c r="B16" s="142" t="n">
        <v>-20</v>
      </c>
      <c r="C16" s="142" t="n">
        <v>-20</v>
      </c>
      <c r="D16" s="133" t="n">
        <f aca="false">Inputs!B22</f>
        <v>-25</v>
      </c>
      <c r="E16" s="133" t="n">
        <f aca="false">Inputs!C22</f>
        <v>-25</v>
      </c>
      <c r="F16" s="16" t="s">
        <v>332</v>
      </c>
    </row>
    <row r="17" customFormat="false" ht="15" hidden="false" customHeight="false" outlineLevel="0" collapsed="false">
      <c r="A17" s="5"/>
      <c r="B17" s="5"/>
      <c r="C17" s="5"/>
      <c r="D17" s="5"/>
      <c r="E17" s="5"/>
      <c r="F17" s="5"/>
    </row>
    <row r="18" customFormat="false" ht="15" hidden="false" customHeight="false" outlineLevel="0" collapsed="false">
      <c r="A18" s="108" t="s">
        <v>333</v>
      </c>
      <c r="B18" s="109" t="s">
        <v>334</v>
      </c>
      <c r="C18" s="109"/>
      <c r="D18" s="109" t="s">
        <v>335</v>
      </c>
      <c r="E18" s="109"/>
      <c r="F18" s="109" t="s">
        <v>336</v>
      </c>
    </row>
    <row r="19" customFormat="false" ht="15" hidden="false" customHeight="false" outlineLevel="0" collapsed="false">
      <c r="A19" s="16" t="s">
        <v>337</v>
      </c>
      <c r="B19" s="142" t="n">
        <v>9558.7</v>
      </c>
      <c r="C19" s="5"/>
      <c r="D19" s="133" t="n">
        <f aca="false">Forecast!C17</f>
        <v>9481.934448</v>
      </c>
      <c r="E19" s="5"/>
      <c r="F19" s="163" t="n">
        <f aca="false">D19-B19</f>
        <v>-76.7655520000008</v>
      </c>
    </row>
    <row r="20" customFormat="false" ht="15" hidden="false" customHeight="false" outlineLevel="0" collapsed="false">
      <c r="A20" s="16" t="s">
        <v>338</v>
      </c>
      <c r="B20" s="162" t="n">
        <v>0.1846</v>
      </c>
      <c r="C20" s="5"/>
      <c r="D20" s="143" t="n">
        <f aca="false">Forecast!C30</f>
        <v>0.185652006523975</v>
      </c>
      <c r="E20" s="5"/>
      <c r="F20" s="164" t="n">
        <f aca="false">D20-B20</f>
        <v>0.00105200652397505</v>
      </c>
    </row>
    <row r="21" customFormat="false" ht="15" hidden="false" customHeight="false" outlineLevel="0" collapsed="false">
      <c r="A21" s="16" t="s">
        <v>339</v>
      </c>
      <c r="B21" s="142" t="n">
        <v>37291.9</v>
      </c>
      <c r="C21" s="5"/>
      <c r="D21" s="133" t="n">
        <f aca="false">Forecast!I17</f>
        <v>37313.452568</v>
      </c>
      <c r="E21" s="5"/>
      <c r="F21" s="163" t="n">
        <f aca="false">D21-B21</f>
        <v>21.5525679999992</v>
      </c>
    </row>
    <row r="22" customFormat="false" ht="15" hidden="false" customHeight="false" outlineLevel="0" collapsed="false">
      <c r="A22" s="16" t="s">
        <v>340</v>
      </c>
      <c r="B22" s="142" t="n">
        <v>6763.9</v>
      </c>
      <c r="C22" s="5"/>
      <c r="D22" s="133" t="n">
        <f aca="false">Forecast!I29</f>
        <v>6785.406571</v>
      </c>
      <c r="E22" s="5"/>
      <c r="F22" s="163" t="n">
        <f aca="false">D22-B22</f>
        <v>21.5065710000008</v>
      </c>
    </row>
    <row r="23" customFormat="false" ht="15" hidden="false" customHeight="false" outlineLevel="0" collapsed="false">
      <c r="A23" s="16" t="s">
        <v>341</v>
      </c>
      <c r="B23" s="162" t="n">
        <v>0.1814</v>
      </c>
      <c r="C23" s="5"/>
      <c r="D23" s="143" t="n">
        <f aca="false">Forecast!I30</f>
        <v>0.181848799937081</v>
      </c>
      <c r="E23" s="5"/>
      <c r="F23" s="164" t="n">
        <f aca="false">D23-B23</f>
        <v>0.00044879993708119</v>
      </c>
    </row>
    <row r="24" customFormat="false" ht="15" hidden="false" customHeight="false" outlineLevel="0" collapsed="false">
      <c r="A24" s="16" t="s">
        <v>342</v>
      </c>
      <c r="B24" s="162" t="n">
        <v>0.2612</v>
      </c>
      <c r="C24" s="5"/>
      <c r="D24" s="143" t="n">
        <f aca="false">Forecast!F60</f>
        <v>0.253978585324595</v>
      </c>
      <c r="E24" s="5"/>
      <c r="F24" s="164" t="n">
        <f aca="false">D24-B24</f>
        <v>-0.0072214146754046</v>
      </c>
    </row>
    <row r="25" customFormat="false" ht="15" hidden="false" customHeight="false" outlineLevel="0" collapsed="false">
      <c r="A25" s="16" t="s">
        <v>343</v>
      </c>
      <c r="B25" s="162" t="n">
        <v>0.1231</v>
      </c>
      <c r="C25" s="5"/>
      <c r="D25" s="143" t="n">
        <f aca="false">Forecast!F57</f>
        <v>0.12883744723454</v>
      </c>
      <c r="E25" s="5"/>
      <c r="F25" s="164" t="n">
        <f aca="false">D25-B25</f>
        <v>0.00573744723453971</v>
      </c>
    </row>
    <row r="26" customFormat="false" ht="15" hidden="false" customHeight="false" outlineLevel="0" collapsed="false">
      <c r="A26" s="5"/>
      <c r="B26" s="5"/>
      <c r="C26" s="5"/>
      <c r="D26" s="5"/>
      <c r="E26" s="5"/>
      <c r="F26" s="5"/>
    </row>
    <row r="27" customFormat="false" ht="15" hidden="false" customHeight="false" outlineLevel="0" collapsed="false">
      <c r="A27" s="9" t="s">
        <v>344</v>
      </c>
      <c r="B27" s="5"/>
      <c r="C27" s="5"/>
      <c r="D27" s="5"/>
      <c r="E27" s="5"/>
      <c r="F27" s="5"/>
    </row>
    <row r="28" customFormat="false" ht="15" hidden="false" customHeight="false" outlineLevel="0" collapsed="false">
      <c r="A28" s="16" t="s">
        <v>345</v>
      </c>
      <c r="B28" s="5"/>
      <c r="C28" s="5"/>
      <c r="D28" s="5"/>
      <c r="E28" s="5"/>
      <c r="F28" s="5"/>
    </row>
    <row r="29" customFormat="false" ht="15" hidden="false" customHeight="false" outlineLevel="0" collapsed="false">
      <c r="A29" s="16" t="s">
        <v>346</v>
      </c>
      <c r="B29" s="5"/>
      <c r="C29" s="5"/>
      <c r="D29" s="5"/>
      <c r="E29" s="5"/>
      <c r="F29" s="5"/>
    </row>
    <row r="30" customFormat="false" ht="15" hidden="false" customHeight="false" outlineLevel="0" collapsed="false">
      <c r="A30" s="16" t="s">
        <v>347</v>
      </c>
      <c r="B30" s="5"/>
      <c r="C30" s="5"/>
      <c r="D30" s="5"/>
      <c r="E30" s="5"/>
      <c r="F30" s="5"/>
    </row>
    <row r="31" customFormat="false" ht="15" hidden="false" customHeight="false" outlineLevel="0" collapsed="false">
      <c r="A31" s="16" t="s">
        <v>348</v>
      </c>
      <c r="B31" s="5"/>
      <c r="C31" s="5"/>
      <c r="D31" s="5"/>
      <c r="E31" s="5"/>
      <c r="F31"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8" min="2" style="0" width="12"/>
    <col collapsed="false" customWidth="true" hidden="false" outlineLevel="0" max="9" min="9" style="0" width="60"/>
  </cols>
  <sheetData>
    <row r="1" customFormat="false" ht="17.35" hidden="false" customHeight="false" outlineLevel="0" collapsed="false">
      <c r="A1" s="106" t="s">
        <v>349</v>
      </c>
      <c r="B1" s="5"/>
      <c r="C1" s="5"/>
      <c r="D1" s="5"/>
      <c r="E1" s="5"/>
      <c r="F1" s="5"/>
      <c r="G1" s="5"/>
      <c r="H1" s="5"/>
      <c r="I1" s="5"/>
    </row>
    <row r="2" customFormat="false" ht="15" hidden="false" customHeight="false" outlineLevel="0" collapsed="false">
      <c r="A2" s="25" t="s">
        <v>350</v>
      </c>
      <c r="B2" s="5"/>
      <c r="C2" s="5"/>
      <c r="D2" s="5"/>
      <c r="E2" s="5"/>
      <c r="F2" s="5"/>
      <c r="G2" s="5"/>
      <c r="H2" s="5"/>
      <c r="I2" s="5"/>
    </row>
    <row r="3" customFormat="false" ht="15" hidden="false" customHeight="false" outlineLevel="0" collapsed="false">
      <c r="A3" s="11" t="str">
        <f aca="false">HYPERLINK("#'Dashboard'!A1","← Back to Dashboard")</f>
        <v>← Back to Dashboard</v>
      </c>
      <c r="B3" s="5"/>
      <c r="C3" s="5"/>
      <c r="D3" s="5"/>
      <c r="E3" s="5"/>
      <c r="F3" s="5"/>
      <c r="G3" s="5"/>
      <c r="H3" s="5"/>
      <c r="I3" s="5"/>
    </row>
    <row r="4" customFormat="false" ht="15" hidden="false" customHeight="false" outlineLevel="0" collapsed="false">
      <c r="A4" s="108"/>
      <c r="B4" s="109" t="s">
        <v>351</v>
      </c>
      <c r="C4" s="109" t="s">
        <v>352</v>
      </c>
      <c r="D4" s="109" t="s">
        <v>353</v>
      </c>
      <c r="E4" s="109" t="s">
        <v>354</v>
      </c>
      <c r="F4" s="109" t="s">
        <v>355</v>
      </c>
      <c r="G4" s="109" t="s">
        <v>356</v>
      </c>
      <c r="H4" s="109" t="s">
        <v>357</v>
      </c>
      <c r="I4" s="109" t="s">
        <v>358</v>
      </c>
    </row>
    <row r="5" customFormat="false" ht="15" hidden="false" customHeight="false" outlineLevel="0" collapsed="false">
      <c r="A5" s="126" t="s">
        <v>222</v>
      </c>
      <c r="B5" s="7"/>
      <c r="C5" s="7"/>
      <c r="D5" s="7"/>
      <c r="E5" s="7"/>
      <c r="F5" s="7"/>
      <c r="G5" s="7"/>
      <c r="H5" s="7"/>
      <c r="I5" s="7"/>
    </row>
    <row r="6" customFormat="false" ht="15" hidden="false" customHeight="false" outlineLevel="0" collapsed="false">
      <c r="A6" s="132" t="s">
        <v>43</v>
      </c>
      <c r="B6" s="142" t="n">
        <v>2771</v>
      </c>
      <c r="C6" s="142" t="n">
        <v>2899</v>
      </c>
      <c r="D6" s="142" t="n">
        <v>2605</v>
      </c>
      <c r="E6" s="142" t="n">
        <v>2600</v>
      </c>
      <c r="F6" s="134" t="n">
        <f aca="false">SUM(B6:E6)</f>
        <v>10875</v>
      </c>
      <c r="G6" s="142" t="n">
        <v>2672</v>
      </c>
      <c r="H6" s="142" t="n">
        <v>3084</v>
      </c>
      <c r="I6" s="165" t="s">
        <v>359</v>
      </c>
    </row>
    <row r="7" customFormat="false" ht="15" hidden="false" customHeight="false" outlineLevel="0" collapsed="false">
      <c r="A7" s="135" t="s">
        <v>45</v>
      </c>
      <c r="B7" s="142" t="n">
        <v>2670</v>
      </c>
      <c r="C7" s="142" t="n">
        <v>2705</v>
      </c>
      <c r="D7" s="142" t="n">
        <v>2329</v>
      </c>
      <c r="E7" s="142" t="n">
        <v>2445</v>
      </c>
      <c r="F7" s="134" t="n">
        <f aca="false">SUM(B7:E7)</f>
        <v>10149</v>
      </c>
      <c r="G7" s="142" t="n">
        <v>2530</v>
      </c>
      <c r="H7" s="142" t="n">
        <v>2891</v>
      </c>
      <c r="I7" s="5"/>
    </row>
    <row r="8" customFormat="false" ht="15" hidden="false" customHeight="false" outlineLevel="0" collapsed="false">
      <c r="A8" s="136" t="s">
        <v>46</v>
      </c>
      <c r="B8" s="142" t="n">
        <v>2907</v>
      </c>
      <c r="C8" s="142" t="n">
        <v>3041</v>
      </c>
      <c r="D8" s="142" t="n">
        <v>3172</v>
      </c>
      <c r="E8" s="142" t="n">
        <v>3285</v>
      </c>
      <c r="F8" s="134" t="n">
        <f aca="false">SUM(B8:E8)</f>
        <v>12405</v>
      </c>
      <c r="G8" s="142" t="n">
        <v>3116</v>
      </c>
      <c r="H8" s="142" t="n">
        <v>3326</v>
      </c>
      <c r="I8" s="165" t="s">
        <v>360</v>
      </c>
    </row>
    <row r="9" customFormat="false" ht="15" hidden="false" customHeight="false" outlineLevel="0" collapsed="false">
      <c r="A9" s="137" t="s">
        <v>47</v>
      </c>
      <c r="B9" s="142" t="n">
        <v>1649</v>
      </c>
      <c r="C9" s="142" t="n">
        <v>1889</v>
      </c>
      <c r="D9" s="142" t="n">
        <v>1996</v>
      </c>
      <c r="E9" s="142" t="n">
        <v>1929</v>
      </c>
      <c r="F9" s="134" t="n">
        <f aca="false">SUM(B9:E9)</f>
        <v>7463</v>
      </c>
      <c r="G9" s="142" t="n">
        <v>1956</v>
      </c>
      <c r="H9" s="142" t="n">
        <v>2255</v>
      </c>
      <c r="I9" s="5"/>
    </row>
    <row r="10" customFormat="false" ht="15" hidden="false" customHeight="false" outlineLevel="0" collapsed="false">
      <c r="A10" s="138" t="s">
        <v>48</v>
      </c>
      <c r="B10" s="142" t="n">
        <v>103</v>
      </c>
      <c r="C10" s="142" t="n">
        <v>105</v>
      </c>
      <c r="D10" s="142" t="n">
        <v>121</v>
      </c>
      <c r="E10" s="142" t="n">
        <v>131</v>
      </c>
      <c r="F10" s="134" t="n">
        <f aca="false">SUM(B10:E10)</f>
        <v>460</v>
      </c>
      <c r="G10" s="142" t="n">
        <v>101</v>
      </c>
      <c r="H10" s="142" t="n">
        <v>145</v>
      </c>
      <c r="I10" s="165" t="s">
        <v>361</v>
      </c>
    </row>
    <row r="11" customFormat="false" ht="15" hidden="false" customHeight="false" outlineLevel="0" collapsed="false">
      <c r="A11" s="9" t="s">
        <v>223</v>
      </c>
      <c r="B11" s="139" t="n">
        <f aca="false">SUM(B6:B10)</f>
        <v>10100</v>
      </c>
      <c r="C11" s="139" t="n">
        <f aca="false">SUM(C6:C10)</f>
        <v>10639</v>
      </c>
      <c r="D11" s="139" t="n">
        <f aca="false">SUM(D6:D10)</f>
        <v>10223</v>
      </c>
      <c r="E11" s="139" t="n">
        <f aca="false">SUM(E6:E10)</f>
        <v>10390</v>
      </c>
      <c r="F11" s="139" t="n">
        <f aca="false">SUM(F6:F10)</f>
        <v>41352</v>
      </c>
      <c r="G11" s="139" t="n">
        <f aca="false">SUM(G6:G10)</f>
        <v>10375</v>
      </c>
      <c r="H11" s="139" t="n">
        <f aca="false">SUM(H6:H10)</f>
        <v>11701</v>
      </c>
      <c r="I11" s="5"/>
    </row>
    <row r="12" customFormat="false" ht="15" hidden="false" customHeight="false" outlineLevel="0" collapsed="false">
      <c r="A12" s="16" t="s">
        <v>224</v>
      </c>
      <c r="B12" s="142" t="n">
        <v>-1926</v>
      </c>
      <c r="C12" s="142" t="n">
        <v>-1996</v>
      </c>
      <c r="D12" s="142" t="n">
        <v>-1906</v>
      </c>
      <c r="E12" s="142" t="n">
        <v>-1854</v>
      </c>
      <c r="F12" s="134" t="n">
        <f aca="false">SUM(B12:E12)</f>
        <v>-7682</v>
      </c>
      <c r="G12" s="142" t="n">
        <v>-1977</v>
      </c>
      <c r="H12" s="142" t="n">
        <v>-2244</v>
      </c>
      <c r="I12" s="5"/>
    </row>
    <row r="13" customFormat="false" ht="15" hidden="false" customHeight="false" outlineLevel="0" collapsed="false">
      <c r="A13" s="9" t="s">
        <v>50</v>
      </c>
      <c r="B13" s="140" t="n">
        <f aca="false">B11+B12</f>
        <v>8174</v>
      </c>
      <c r="C13" s="140" t="n">
        <f aca="false">C11+C12</f>
        <v>8643</v>
      </c>
      <c r="D13" s="140" t="n">
        <f aca="false">D11+D12</f>
        <v>8317</v>
      </c>
      <c r="E13" s="140" t="n">
        <f aca="false">E11+E12</f>
        <v>8536</v>
      </c>
      <c r="F13" s="140" t="n">
        <f aca="false">F11+F12</f>
        <v>33670</v>
      </c>
      <c r="G13" s="140" t="n">
        <f aca="false">G11+G12</f>
        <v>8398</v>
      </c>
      <c r="H13" s="140" t="n">
        <f aca="false">H11+H12</f>
        <v>9457</v>
      </c>
      <c r="I13" s="5"/>
    </row>
    <row r="14" customFormat="false" ht="15" hidden="false" customHeight="false" outlineLevel="0" collapsed="false">
      <c r="A14" s="16" t="s">
        <v>362</v>
      </c>
      <c r="B14" s="142" t="n">
        <v>8174</v>
      </c>
      <c r="C14" s="142" t="n">
        <v>8643</v>
      </c>
      <c r="D14" s="142" t="n">
        <v>8317</v>
      </c>
      <c r="E14" s="142" t="n">
        <v>8536</v>
      </c>
      <c r="F14" s="134" t="n">
        <f aca="false">SUM(B14:E14)</f>
        <v>33670</v>
      </c>
      <c r="G14" s="142" t="n">
        <v>8398</v>
      </c>
      <c r="H14" s="142" t="n">
        <v>9457</v>
      </c>
      <c r="I14" s="5"/>
    </row>
    <row r="15" customFormat="false" ht="15" hidden="false" customHeight="false" outlineLevel="0" collapsed="false">
      <c r="A15" s="25" t="s">
        <v>363</v>
      </c>
      <c r="B15" s="166" t="n">
        <f aca="false">B13-B14</f>
        <v>0</v>
      </c>
      <c r="C15" s="166" t="n">
        <f aca="false">C13-C14</f>
        <v>0</v>
      </c>
      <c r="D15" s="166" t="n">
        <f aca="false">D13-D14</f>
        <v>0</v>
      </c>
      <c r="E15" s="166" t="n">
        <f aca="false">E13-E14</f>
        <v>0</v>
      </c>
      <c r="F15" s="166" t="n">
        <f aca="false">F13-F14</f>
        <v>0</v>
      </c>
      <c r="G15" s="166" t="n">
        <f aca="false">G13-G14</f>
        <v>0</v>
      </c>
      <c r="H15" s="166" t="n">
        <f aca="false">H13-H14</f>
        <v>0</v>
      </c>
      <c r="I15" s="5"/>
    </row>
    <row r="16" customFormat="false" ht="15" hidden="false" customHeight="false" outlineLevel="0" collapsed="false">
      <c r="A16" s="5"/>
      <c r="B16" s="5"/>
      <c r="C16" s="5"/>
      <c r="D16" s="5"/>
      <c r="E16" s="5"/>
      <c r="F16" s="5"/>
      <c r="G16" s="5"/>
      <c r="H16" s="5"/>
      <c r="I16" s="5"/>
    </row>
    <row r="17" customFormat="false" ht="15" hidden="false" customHeight="false" outlineLevel="0" collapsed="false">
      <c r="A17" s="126" t="s">
        <v>364</v>
      </c>
      <c r="B17" s="7"/>
      <c r="C17" s="7"/>
      <c r="D17" s="7"/>
      <c r="E17" s="7"/>
      <c r="F17" s="7"/>
      <c r="G17" s="7"/>
      <c r="H17" s="7"/>
      <c r="I17" s="7"/>
    </row>
    <row r="18" customFormat="false" ht="15" hidden="false" customHeight="false" outlineLevel="0" collapsed="false">
      <c r="A18" s="132" t="s">
        <v>43</v>
      </c>
      <c r="B18" s="142" t="n">
        <v>458</v>
      </c>
      <c r="C18" s="142" t="n">
        <v>400</v>
      </c>
      <c r="D18" s="142" t="n">
        <v>261</v>
      </c>
      <c r="E18" s="142" t="n">
        <v>263</v>
      </c>
      <c r="F18" s="134" t="n">
        <f aca="false">SUM(B18:E18)</f>
        <v>1382</v>
      </c>
      <c r="G18" s="142" t="n">
        <v>279</v>
      </c>
      <c r="H18" s="142" t="n">
        <v>386</v>
      </c>
      <c r="I18" s="5"/>
    </row>
    <row r="19" customFormat="false" ht="15" hidden="false" customHeight="false" outlineLevel="0" collapsed="false">
      <c r="A19" s="135" t="s">
        <v>45</v>
      </c>
      <c r="B19" s="142" t="n">
        <v>382</v>
      </c>
      <c r="C19" s="142" t="n">
        <v>397</v>
      </c>
      <c r="D19" s="142" t="n">
        <v>292</v>
      </c>
      <c r="E19" s="142" t="n">
        <v>327</v>
      </c>
      <c r="F19" s="134" t="n">
        <f aca="false">SUM(B19:E19)</f>
        <v>1398</v>
      </c>
      <c r="G19" s="142" t="n">
        <v>337</v>
      </c>
      <c r="H19" s="142" t="n">
        <v>381</v>
      </c>
      <c r="I19" s="5"/>
    </row>
    <row r="20" customFormat="false" ht="15" hidden="false" customHeight="false" outlineLevel="0" collapsed="false">
      <c r="A20" s="136" t="s">
        <v>46</v>
      </c>
      <c r="B20" s="142" t="n">
        <v>376</v>
      </c>
      <c r="C20" s="142" t="n">
        <v>445</v>
      </c>
      <c r="D20" s="142" t="n">
        <v>492</v>
      </c>
      <c r="E20" s="142" t="n">
        <v>495</v>
      </c>
      <c r="F20" s="134" t="n">
        <f aca="false">SUM(B20:E20)</f>
        <v>1808</v>
      </c>
      <c r="G20" s="142" t="n">
        <v>444</v>
      </c>
      <c r="H20" s="142" t="n">
        <v>451</v>
      </c>
      <c r="I20" s="5"/>
    </row>
    <row r="21" customFormat="false" ht="15" hidden="false" customHeight="false" outlineLevel="0" collapsed="false">
      <c r="A21" s="137" t="s">
        <v>47</v>
      </c>
      <c r="B21" s="142" t="n">
        <v>389</v>
      </c>
      <c r="C21" s="142" t="n">
        <v>430</v>
      </c>
      <c r="D21" s="142" t="n">
        <v>457</v>
      </c>
      <c r="E21" s="142" t="n">
        <v>418</v>
      </c>
      <c r="F21" s="134" t="n">
        <f aca="false">SUM(B21:E21)</f>
        <v>1694</v>
      </c>
      <c r="G21" s="142" t="n">
        <v>577</v>
      </c>
      <c r="H21" s="142" t="n">
        <v>552</v>
      </c>
      <c r="I21" s="5"/>
    </row>
    <row r="22" customFormat="false" ht="15" hidden="false" customHeight="false" outlineLevel="0" collapsed="false">
      <c r="A22" s="138" t="s">
        <v>48</v>
      </c>
      <c r="B22" s="142" t="n">
        <v>-86</v>
      </c>
      <c r="C22" s="142" t="n">
        <v>-100</v>
      </c>
      <c r="D22" s="142" t="n">
        <v>-336</v>
      </c>
      <c r="E22" s="142" t="n">
        <v>-374</v>
      </c>
      <c r="F22" s="134" t="n">
        <f aca="false">SUM(B22:E22)</f>
        <v>-896</v>
      </c>
      <c r="G22" s="142" t="n">
        <v>-277</v>
      </c>
      <c r="H22" s="142" t="n">
        <v>-69</v>
      </c>
      <c r="I22" s="5"/>
    </row>
    <row r="23" customFormat="false" ht="15" hidden="false" customHeight="false" outlineLevel="0" collapsed="false">
      <c r="A23" s="16" t="s">
        <v>226</v>
      </c>
      <c r="B23" s="142" t="n">
        <v>-59</v>
      </c>
      <c r="C23" s="142" t="n">
        <v>15</v>
      </c>
      <c r="D23" s="142" t="n">
        <v>21</v>
      </c>
      <c r="E23" s="142" t="n">
        <v>22</v>
      </c>
      <c r="F23" s="134" t="n">
        <f aca="false">SUM(B23:E23)</f>
        <v>-1</v>
      </c>
      <c r="G23" s="142" t="n">
        <v>-70</v>
      </c>
      <c r="H23" s="142" t="n">
        <v>-48</v>
      </c>
      <c r="I23" s="5"/>
    </row>
    <row r="24" customFormat="false" ht="15" hidden="false" customHeight="false" outlineLevel="0" collapsed="false">
      <c r="A24" s="9" t="s">
        <v>287</v>
      </c>
      <c r="B24" s="139" t="n">
        <f aca="false">SUM(B18:B23)</f>
        <v>1460</v>
      </c>
      <c r="C24" s="139" t="n">
        <f aca="false">SUM(C18:C23)</f>
        <v>1587</v>
      </c>
      <c r="D24" s="139" t="n">
        <f aca="false">SUM(D18:D23)</f>
        <v>1187</v>
      </c>
      <c r="E24" s="139" t="n">
        <f aca="false">SUM(E18:E23)</f>
        <v>1151</v>
      </c>
      <c r="F24" s="139" t="n">
        <f aca="false">SUM(F18:F23)</f>
        <v>5385</v>
      </c>
      <c r="G24" s="139" t="n">
        <f aca="false">SUM(G18:G23)</f>
        <v>1290</v>
      </c>
      <c r="H24" s="139" t="n">
        <f aca="false">SUM(H18:H23)</f>
        <v>1653</v>
      </c>
      <c r="I24" s="5"/>
    </row>
    <row r="25" customFormat="false" ht="15" hidden="false" customHeight="false" outlineLevel="0" collapsed="false">
      <c r="A25" s="16" t="s">
        <v>365</v>
      </c>
      <c r="B25" s="129" t="n">
        <f aca="false">IF(B13=0,0,B24/B13)</f>
        <v>0.178615121115733</v>
      </c>
      <c r="C25" s="129" t="n">
        <f aca="false">IF(C13=0,0,C24/C13)</f>
        <v>0.183616799722319</v>
      </c>
      <c r="D25" s="129" t="n">
        <f aca="false">IF(D13=0,0,D24/D13)</f>
        <v>0.142719730672117</v>
      </c>
      <c r="E25" s="129" t="n">
        <f aca="false">IF(E13=0,0,E24/E13)</f>
        <v>0.134840674789128</v>
      </c>
      <c r="F25" s="129" t="n">
        <f aca="false">IF(F13=0,0,F24/F13)</f>
        <v>0.15993465993466</v>
      </c>
      <c r="G25" s="129" t="n">
        <f aca="false">IF(G13=0,0,G24/G13)</f>
        <v>0.153608001905216</v>
      </c>
      <c r="H25" s="129" t="n">
        <f aca="false">IF(H13=0,0,H24/H13)</f>
        <v>0.174791159987311</v>
      </c>
      <c r="I25" s="5"/>
    </row>
    <row r="26" customFormat="false" ht="15" hidden="false" customHeight="false" outlineLevel="0" collapsed="false">
      <c r="A26" s="16" t="s">
        <v>366</v>
      </c>
      <c r="B26" s="142" t="n">
        <v>1460</v>
      </c>
      <c r="C26" s="142" t="n">
        <v>1587</v>
      </c>
      <c r="D26" s="142" t="n">
        <v>1187</v>
      </c>
      <c r="E26" s="142" t="n">
        <v>1151</v>
      </c>
      <c r="F26" s="134" t="n">
        <f aca="false">SUM(B26:E26)</f>
        <v>5385</v>
      </c>
      <c r="G26" s="142" t="n">
        <v>1290</v>
      </c>
      <c r="H26" s="142" t="n">
        <v>1653</v>
      </c>
      <c r="I26" s="5"/>
    </row>
    <row r="27" customFormat="false" ht="15" hidden="false" customHeight="false" outlineLevel="0" collapsed="false">
      <c r="A27" s="25" t="s">
        <v>363</v>
      </c>
      <c r="B27" s="166" t="n">
        <f aca="false">B24-B26</f>
        <v>0</v>
      </c>
      <c r="C27" s="166" t="n">
        <f aca="false">C24-C26</f>
        <v>0</v>
      </c>
      <c r="D27" s="166" t="n">
        <f aca="false">D24-D26</f>
        <v>0</v>
      </c>
      <c r="E27" s="166" t="n">
        <f aca="false">E24-E26</f>
        <v>0</v>
      </c>
      <c r="F27" s="166" t="n">
        <f aca="false">F24-F26</f>
        <v>0</v>
      </c>
      <c r="G27" s="166" t="n">
        <f aca="false">G24-G26</f>
        <v>0</v>
      </c>
      <c r="H27" s="166" t="n">
        <f aca="false">H24-H26</f>
        <v>0</v>
      </c>
      <c r="I27" s="5"/>
    </row>
    <row r="28" customFormat="false" ht="15" hidden="false" customHeight="false" outlineLevel="0" collapsed="false">
      <c r="A28" s="16" t="s">
        <v>367</v>
      </c>
      <c r="B28" s="142" t="n">
        <v>0</v>
      </c>
      <c r="C28" s="142" t="n">
        <v>0</v>
      </c>
      <c r="D28" s="142" t="n">
        <v>240</v>
      </c>
      <c r="E28" s="142" t="n">
        <v>218</v>
      </c>
      <c r="F28" s="134" t="n">
        <f aca="false">SUM(B28:E28)</f>
        <v>458</v>
      </c>
      <c r="G28" s="142" t="n">
        <v>199</v>
      </c>
      <c r="H28" s="142" t="n">
        <v>0</v>
      </c>
      <c r="I28" s="25" t="s">
        <v>368</v>
      </c>
    </row>
    <row r="29" customFormat="false" ht="15" hidden="false" customHeight="false" outlineLevel="0" collapsed="false">
      <c r="A29" s="9" t="s">
        <v>230</v>
      </c>
      <c r="B29" s="140" t="n">
        <f aca="false">B24+B28</f>
        <v>1460</v>
      </c>
      <c r="C29" s="140" t="n">
        <f aca="false">C24+C28</f>
        <v>1587</v>
      </c>
      <c r="D29" s="140" t="n">
        <f aca="false">D24+D28</f>
        <v>1427</v>
      </c>
      <c r="E29" s="140" t="n">
        <f aca="false">E24+E28</f>
        <v>1369</v>
      </c>
      <c r="F29" s="140" t="n">
        <f aca="false">F24+F28</f>
        <v>5843</v>
      </c>
      <c r="G29" s="140" t="n">
        <f aca="false">G24+G28</f>
        <v>1489</v>
      </c>
      <c r="H29" s="140" t="n">
        <f aca="false">H24+H28</f>
        <v>1653</v>
      </c>
      <c r="I29" s="5"/>
    </row>
    <row r="30" customFormat="false" ht="15" hidden="false" customHeight="false" outlineLevel="0" collapsed="false">
      <c r="A30" s="9" t="s">
        <v>231</v>
      </c>
      <c r="B30" s="141" t="n">
        <f aca="false">IF(B13=0,0,B29/B13)</f>
        <v>0.178615121115733</v>
      </c>
      <c r="C30" s="141" t="n">
        <f aca="false">IF(C13=0,0,C29/C13)</f>
        <v>0.183616799722319</v>
      </c>
      <c r="D30" s="141" t="n">
        <f aca="false">IF(D13=0,0,D29/D13)</f>
        <v>0.171576289527474</v>
      </c>
      <c r="E30" s="141" t="n">
        <f aca="false">IF(E13=0,0,E29/E13)</f>
        <v>0.160379568884724</v>
      </c>
      <c r="F30" s="141" t="n">
        <f aca="false">IF(F13=0,0,F29/F13)</f>
        <v>0.173537273537274</v>
      </c>
      <c r="G30" s="141" t="n">
        <f aca="false">IF(G13=0,0,G29/G13)</f>
        <v>0.177304120028578</v>
      </c>
      <c r="H30" s="141" t="n">
        <f aca="false">IF(H13=0,0,H29/H13)</f>
        <v>0.174791159987311</v>
      </c>
      <c r="I30" s="5"/>
    </row>
    <row r="31" customFormat="false" ht="15" hidden="false" customHeight="false" outlineLevel="0" collapsed="false">
      <c r="A31" s="5"/>
      <c r="B31" s="5"/>
      <c r="C31" s="5"/>
      <c r="D31" s="5"/>
      <c r="E31" s="5"/>
      <c r="F31" s="5"/>
      <c r="G31" s="5"/>
      <c r="H31" s="5"/>
      <c r="I31" s="5"/>
    </row>
    <row r="32" customFormat="false" ht="15" hidden="false" customHeight="false" outlineLevel="0" collapsed="false">
      <c r="A32" s="126" t="s">
        <v>369</v>
      </c>
      <c r="B32" s="7"/>
      <c r="C32" s="7"/>
      <c r="D32" s="7"/>
      <c r="E32" s="7"/>
      <c r="F32" s="7"/>
      <c r="G32" s="7"/>
      <c r="H32" s="7"/>
      <c r="I32" s="7"/>
    </row>
    <row r="33" customFormat="false" ht="15" hidden="false" customHeight="false" outlineLevel="0" collapsed="false">
      <c r="A33" s="132" t="s">
        <v>43</v>
      </c>
      <c r="B33" s="129" t="n">
        <f aca="false">IF(B6=0,0,B18/B6)</f>
        <v>0.165283291230603</v>
      </c>
      <c r="C33" s="129" t="n">
        <f aca="false">IF(C6=0,0,C18/C6)</f>
        <v>0.137978613314936</v>
      </c>
      <c r="D33" s="129" t="n">
        <f aca="false">IF(D6=0,0,D18/D6)</f>
        <v>0.100191938579655</v>
      </c>
      <c r="E33" s="129" t="n">
        <f aca="false">IF(E6=0,0,E18/E6)</f>
        <v>0.101153846153846</v>
      </c>
      <c r="F33" s="129" t="n">
        <f aca="false">IF(F6=0,0,F18/F6)</f>
        <v>0.127080459770115</v>
      </c>
      <c r="G33" s="129" t="n">
        <f aca="false">IF(G6=0,0,G18/G6)</f>
        <v>0.104416167664671</v>
      </c>
      <c r="H33" s="129" t="n">
        <f aca="false">IF(H6=0,0,H18/H6)</f>
        <v>0.125162127107652</v>
      </c>
      <c r="I33" s="5"/>
    </row>
    <row r="34" customFormat="false" ht="15" hidden="false" customHeight="false" outlineLevel="0" collapsed="false">
      <c r="A34" s="135" t="s">
        <v>45</v>
      </c>
      <c r="B34" s="129" t="n">
        <f aca="false">IF(B7=0,0,B19/B7)</f>
        <v>0.143071161048689</v>
      </c>
      <c r="C34" s="129" t="n">
        <f aca="false">IF(C7=0,0,C19/C7)</f>
        <v>0.146765249537893</v>
      </c>
      <c r="D34" s="129" t="n">
        <f aca="false">IF(D7=0,0,D19/D7)</f>
        <v>0.125375697724345</v>
      </c>
      <c r="E34" s="129" t="n">
        <f aca="false">IF(E7=0,0,E19/E7)</f>
        <v>0.133742331288344</v>
      </c>
      <c r="F34" s="129" t="n">
        <f aca="false">IF(F7=0,0,F19/F7)</f>
        <v>0.137747561336092</v>
      </c>
      <c r="G34" s="129" t="n">
        <f aca="false">IF(G7=0,0,G19/G7)</f>
        <v>0.133201581027668</v>
      </c>
      <c r="H34" s="129" t="n">
        <f aca="false">IF(H7=0,0,H19/H7)</f>
        <v>0.131788308543756</v>
      </c>
      <c r="I34" s="5"/>
    </row>
    <row r="35" customFormat="false" ht="15" hidden="false" customHeight="false" outlineLevel="0" collapsed="false">
      <c r="A35" s="136" t="s">
        <v>46</v>
      </c>
      <c r="B35" s="129" t="n">
        <f aca="false">IF(B8=0,0,B20/B8)</f>
        <v>0.129342965256278</v>
      </c>
      <c r="C35" s="129" t="n">
        <f aca="false">IF(C8=0,0,C20/C8)</f>
        <v>0.146333442946399</v>
      </c>
      <c r="D35" s="129" t="n">
        <f aca="false">IF(D8=0,0,D20/D8)</f>
        <v>0.155107187894073</v>
      </c>
      <c r="E35" s="129" t="n">
        <f aca="false">IF(E8=0,0,E20/E8)</f>
        <v>0.150684931506849</v>
      </c>
      <c r="F35" s="129" t="n">
        <f aca="false">IF(F8=0,0,F20/F8)</f>
        <v>0.145747682386135</v>
      </c>
      <c r="G35" s="129" t="n">
        <f aca="false">IF(G8=0,0,G20/G8)</f>
        <v>0.142490372272144</v>
      </c>
      <c r="H35" s="129" t="n">
        <f aca="false">IF(H8=0,0,H20/H8)</f>
        <v>0.135598316295851</v>
      </c>
      <c r="I35" s="5"/>
    </row>
    <row r="36" customFormat="false" ht="15" hidden="false" customHeight="false" outlineLevel="0" collapsed="false">
      <c r="A36" s="137" t="s">
        <v>47</v>
      </c>
      <c r="B36" s="129" t="n">
        <f aca="false">IF(B9=0,0,B21/B9)</f>
        <v>0.235900545785324</v>
      </c>
      <c r="C36" s="129" t="n">
        <f aca="false">IF(C9=0,0,C21/C9)</f>
        <v>0.227633668607729</v>
      </c>
      <c r="D36" s="129" t="n">
        <f aca="false">IF(D9=0,0,D21/D9)</f>
        <v>0.228957915831663</v>
      </c>
      <c r="E36" s="129" t="n">
        <f aca="false">IF(E9=0,0,E21/E9)</f>
        <v>0.216692586832556</v>
      </c>
      <c r="F36" s="129" t="n">
        <f aca="false">IF(F9=0,0,F21/F9)</f>
        <v>0.226986466568404</v>
      </c>
      <c r="G36" s="129" t="n">
        <f aca="false">IF(G9=0,0,G21/G9)</f>
        <v>0.294989775051125</v>
      </c>
      <c r="H36" s="129" t="n">
        <f aca="false">IF(H9=0,0,H21/H9)</f>
        <v>0.244789356984479</v>
      </c>
      <c r="I36" s="5"/>
    </row>
    <row r="37" customFormat="false" ht="15" hidden="false" customHeight="false" outlineLevel="0" collapsed="false">
      <c r="A37" s="25" t="s">
        <v>370</v>
      </c>
      <c r="B37" s="5"/>
      <c r="C37" s="5"/>
      <c r="D37" s="5"/>
      <c r="E37" s="5"/>
      <c r="F37" s="5"/>
      <c r="G37" s="5"/>
      <c r="H37" s="5"/>
      <c r="I37" s="5"/>
    </row>
    <row r="38" customFormat="false" ht="15" hidden="false" customHeight="false" outlineLevel="0" collapsed="false">
      <c r="A38" s="5"/>
      <c r="B38" s="5"/>
      <c r="C38" s="5"/>
      <c r="D38" s="5"/>
      <c r="E38" s="5"/>
      <c r="F38" s="5"/>
      <c r="G38" s="5"/>
      <c r="H38" s="5"/>
      <c r="I38" s="5"/>
    </row>
    <row r="39" customFormat="false" ht="15" hidden="false" customHeight="false" outlineLevel="0" collapsed="false">
      <c r="A39" s="126" t="s">
        <v>371</v>
      </c>
      <c r="B39" s="7"/>
      <c r="C39" s="7"/>
      <c r="D39" s="7"/>
      <c r="E39" s="7"/>
      <c r="F39" s="7"/>
      <c r="G39" s="7"/>
      <c r="H39" s="7"/>
      <c r="I39" s="7"/>
    </row>
    <row r="40" customFormat="false" ht="15" hidden="false" customHeight="false" outlineLevel="0" collapsed="false">
      <c r="A40" s="16" t="s">
        <v>372</v>
      </c>
      <c r="B40" s="167" t="n">
        <v>141000</v>
      </c>
      <c r="C40" s="167" t="n">
        <v>147000</v>
      </c>
      <c r="D40" s="167" t="n">
        <v>135100</v>
      </c>
      <c r="E40" s="167" t="n">
        <v>131100</v>
      </c>
      <c r="F40" s="128" t="n">
        <f aca="false">SUM(B40:E40)</f>
        <v>554200</v>
      </c>
      <c r="G40" s="167" t="n">
        <v>144300</v>
      </c>
      <c r="H40" s="167" t="n">
        <v>161200</v>
      </c>
      <c r="I40" s="25" t="s">
        <v>373</v>
      </c>
    </row>
    <row r="41" customFormat="false" ht="15" hidden="false" customHeight="false" outlineLevel="0" collapsed="false">
      <c r="A41" s="16" t="s">
        <v>221</v>
      </c>
      <c r="B41" s="131" t="n">
        <f aca="false">IF(B40=0,0,B6*1000/B40)</f>
        <v>19.6524822695035</v>
      </c>
      <c r="C41" s="131" t="n">
        <f aca="false">IF(C40=0,0,C6*1000/C40)</f>
        <v>19.7210884353742</v>
      </c>
      <c r="D41" s="131" t="n">
        <f aca="false">IF(D40=0,0,D6*1000/D40)</f>
        <v>19.2820133234641</v>
      </c>
      <c r="E41" s="131" t="n">
        <f aca="false">IF(E40=0,0,E6*1000/E40)</f>
        <v>19.8321891685736</v>
      </c>
      <c r="F41" s="131" t="n">
        <f aca="false">IF(F40=0,0,F6*1000/F40)</f>
        <v>19.6228798267773</v>
      </c>
      <c r="G41" s="131" t="n">
        <f aca="false">IF(G40=0,0,G6*1000/G40)</f>
        <v>18.5169785169785</v>
      </c>
      <c r="H41" s="131" t="n">
        <f aca="false">IF(H40=0,0,H6*1000/H40)</f>
        <v>19.1315136476427</v>
      </c>
      <c r="I41" s="5"/>
    </row>
    <row r="42" customFormat="false" ht="15" hidden="false" customHeight="false" outlineLevel="0" collapsed="false">
      <c r="A42" s="5"/>
      <c r="B42" s="5"/>
      <c r="C42" s="5"/>
      <c r="D42" s="5"/>
      <c r="E42" s="5"/>
      <c r="F42" s="5"/>
      <c r="G42" s="5"/>
      <c r="H42" s="5"/>
      <c r="I42" s="5"/>
    </row>
    <row r="43" customFormat="false" ht="15" hidden="false" customHeight="false" outlineLevel="0" collapsed="false">
      <c r="A43" s="126" t="s">
        <v>374</v>
      </c>
      <c r="B43" s="7"/>
      <c r="C43" s="7"/>
      <c r="D43" s="7"/>
      <c r="E43" s="7"/>
      <c r="F43" s="7"/>
      <c r="G43" s="7"/>
      <c r="H43" s="7"/>
      <c r="I43" s="7"/>
    </row>
    <row r="44" customFormat="false" ht="15" hidden="false" customHeight="false" outlineLevel="0" collapsed="false">
      <c r="A44" s="12"/>
      <c r="B44" s="12" t="s">
        <v>375</v>
      </c>
      <c r="C44" s="12" t="s">
        <v>376</v>
      </c>
      <c r="D44" s="12" t="s">
        <v>377</v>
      </c>
      <c r="E44" s="12" t="s">
        <v>378</v>
      </c>
      <c r="F44" s="5"/>
      <c r="G44" s="5"/>
      <c r="H44" s="5"/>
      <c r="I44" s="5"/>
    </row>
    <row r="45" customFormat="false" ht="15" hidden="false" customHeight="false" outlineLevel="0" collapsed="false">
      <c r="A45" s="132" t="s">
        <v>43</v>
      </c>
      <c r="B45" s="142" t="n">
        <v>2928</v>
      </c>
      <c r="C45" s="142" t="n">
        <v>3151</v>
      </c>
      <c r="D45" s="142" t="n">
        <v>2913</v>
      </c>
      <c r="E45" s="142" t="n">
        <v>2720</v>
      </c>
      <c r="F45" s="5"/>
      <c r="G45" s="5"/>
      <c r="H45" s="5"/>
      <c r="I45" s="25" t="s">
        <v>379</v>
      </c>
    </row>
    <row r="46" customFormat="false" ht="15" hidden="false" customHeight="false" outlineLevel="0" collapsed="false">
      <c r="A46" s="135" t="s">
        <v>45</v>
      </c>
      <c r="B46" s="142" t="n">
        <v>2979</v>
      </c>
      <c r="C46" s="142" t="n">
        <v>2982</v>
      </c>
      <c r="D46" s="142" t="n">
        <v>2724</v>
      </c>
      <c r="E46" s="142" t="n">
        <v>2641</v>
      </c>
      <c r="F46" s="5"/>
      <c r="G46" s="5"/>
      <c r="H46" s="5"/>
      <c r="I46" s="25" t="s">
        <v>380</v>
      </c>
    </row>
    <row r="47" customFormat="false" ht="15" hidden="false" customHeight="false" outlineLevel="0" collapsed="false">
      <c r="A47" s="136" t="s">
        <v>46</v>
      </c>
      <c r="B47" s="142" t="n">
        <v>2535</v>
      </c>
      <c r="C47" s="142" t="n">
        <v>2829</v>
      </c>
      <c r="D47" s="142" t="n">
        <v>2952</v>
      </c>
      <c r="E47" s="142" t="n">
        <v>3068</v>
      </c>
      <c r="F47" s="5"/>
      <c r="G47" s="5"/>
      <c r="H47" s="5"/>
      <c r="I47" s="5"/>
    </row>
    <row r="48" customFormat="false" ht="15" hidden="false" customHeight="false" outlineLevel="0" collapsed="false">
      <c r="A48" s="137" t="s">
        <v>47</v>
      </c>
      <c r="B48" s="142" t="n">
        <v>1389</v>
      </c>
      <c r="C48" s="142" t="n">
        <v>1589</v>
      </c>
      <c r="D48" s="142" t="n">
        <v>1687</v>
      </c>
      <c r="E48" s="142" t="n">
        <v>1743</v>
      </c>
      <c r="F48" s="5"/>
      <c r="G48" s="5"/>
      <c r="H48" s="5"/>
      <c r="I48" s="5"/>
    </row>
    <row r="49" customFormat="false" ht="15" hidden="false" customHeight="false" outlineLevel="0" collapsed="false">
      <c r="A49" s="5"/>
      <c r="B49" s="5"/>
      <c r="C49" s="5"/>
      <c r="D49" s="5"/>
      <c r="E49" s="5"/>
      <c r="F49" s="5"/>
      <c r="G49" s="5"/>
      <c r="H49" s="5"/>
      <c r="I49" s="5"/>
    </row>
    <row r="50" customFormat="false" ht="15" hidden="false" customHeight="false" outlineLevel="0" collapsed="false">
      <c r="A50" s="5"/>
      <c r="B50" s="5"/>
      <c r="C50" s="5"/>
      <c r="D50" s="5"/>
      <c r="E50" s="5"/>
      <c r="F50" s="5"/>
      <c r="G50" s="5"/>
      <c r="H50" s="5"/>
      <c r="I50" s="5"/>
    </row>
    <row r="51" customFormat="false" ht="15" hidden="false" customHeight="false" outlineLevel="0" collapsed="false">
      <c r="A51" s="5"/>
      <c r="B51" s="5"/>
      <c r="C51" s="5"/>
      <c r="D51" s="5"/>
      <c r="E51" s="5"/>
      <c r="F51" s="5"/>
      <c r="G51" s="5"/>
      <c r="H51" s="5"/>
      <c r="I51" s="5"/>
    </row>
    <row r="52" customFormat="false" ht="15" hidden="false" customHeight="false" outlineLevel="0" collapsed="false">
      <c r="A52" s="5"/>
      <c r="B52" s="5"/>
      <c r="C52" s="5"/>
      <c r="D52" s="5"/>
      <c r="E52" s="5"/>
      <c r="F52" s="5"/>
      <c r="G52" s="5"/>
      <c r="H52" s="5"/>
      <c r="I52" s="5"/>
    </row>
    <row r="53" customFormat="false" ht="15" hidden="false" customHeight="false" outlineLevel="0" collapsed="false">
      <c r="A53" s="5"/>
      <c r="B53" s="5"/>
      <c r="C53" s="5"/>
      <c r="D53" s="5"/>
      <c r="E53" s="5"/>
      <c r="F53" s="5"/>
      <c r="G53" s="5"/>
      <c r="H53" s="5"/>
      <c r="I53" s="5"/>
    </row>
    <row r="54" customFormat="false" ht="15" hidden="false" customHeight="false" outlineLevel="0" collapsed="false">
      <c r="A54" s="5"/>
      <c r="B54" s="5"/>
      <c r="C54" s="5"/>
      <c r="D54" s="5"/>
      <c r="E54" s="5"/>
      <c r="F54" s="5"/>
      <c r="G54" s="5"/>
      <c r="H54" s="5"/>
      <c r="I54" s="5"/>
    </row>
    <row r="55" customFormat="false" ht="15" hidden="false" customHeight="false" outlineLevel="0" collapsed="false">
      <c r="A55" s="5"/>
      <c r="B55" s="5"/>
      <c r="C55" s="5"/>
      <c r="D55" s="5"/>
      <c r="E55" s="5"/>
      <c r="F55" s="5"/>
      <c r="G55" s="5"/>
      <c r="H55" s="5"/>
      <c r="I55" s="5"/>
    </row>
    <row r="56" customFormat="false" ht="15" hidden="false" customHeight="false" outlineLevel="0" collapsed="false">
      <c r="A56" s="5"/>
      <c r="B56" s="5"/>
      <c r="C56" s="5"/>
      <c r="D56" s="5"/>
      <c r="E56" s="5"/>
      <c r="F56" s="5"/>
      <c r="G56" s="5"/>
      <c r="H56" s="5"/>
      <c r="I56" s="5"/>
    </row>
    <row r="57" customFormat="false" ht="15" hidden="false" customHeight="false" outlineLevel="0" collapsed="false">
      <c r="A57" s="5"/>
      <c r="B57" s="5"/>
      <c r="C57" s="5"/>
      <c r="D57" s="5"/>
      <c r="E57" s="5"/>
      <c r="F57" s="5"/>
      <c r="G57" s="5"/>
      <c r="H57" s="5"/>
      <c r="I57" s="5"/>
    </row>
    <row r="58" customFormat="false" ht="15" hidden="false" customHeight="false" outlineLevel="0" collapsed="false">
      <c r="A58" s="5"/>
      <c r="B58" s="5"/>
      <c r="C58" s="5"/>
      <c r="D58" s="5"/>
      <c r="E58" s="5"/>
      <c r="F58" s="5"/>
      <c r="G58" s="5"/>
      <c r="H58" s="5"/>
      <c r="I58" s="5"/>
    </row>
    <row r="59" customFormat="false" ht="15" hidden="false" customHeight="false" outlineLevel="0" collapsed="false">
      <c r="A59" s="5"/>
      <c r="B59" s="5"/>
      <c r="C59" s="5"/>
      <c r="D59" s="5"/>
      <c r="E59" s="5"/>
      <c r="F59" s="5"/>
      <c r="G59" s="5"/>
      <c r="H59" s="5"/>
      <c r="I59" s="5"/>
    </row>
    <row r="60" customFormat="false" ht="15" hidden="false" customHeight="false" outlineLevel="0" collapsed="false">
      <c r="A60" s="5"/>
      <c r="B60" s="5"/>
      <c r="C60" s="5"/>
      <c r="D60" s="5"/>
      <c r="E60" s="5"/>
      <c r="F60" s="5"/>
      <c r="G60" s="5"/>
      <c r="H60" s="5"/>
      <c r="I60"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E6BB8"/>
    <pageSetUpPr fitToPage="tru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8" min="3" style="0" width="14"/>
  </cols>
  <sheetData>
    <row r="1" customFormat="false" ht="25.5" hidden="false" customHeight="true" outlineLevel="0" collapsed="false">
      <c r="A1" s="1"/>
      <c r="B1" s="168" t="s">
        <v>381</v>
      </c>
      <c r="C1" s="1"/>
      <c r="D1" s="1"/>
      <c r="E1" s="1"/>
      <c r="F1" s="1"/>
      <c r="G1" s="1"/>
      <c r="H1" s="1"/>
    </row>
    <row r="2" customFormat="false" ht="15" hidden="false" customHeight="false" outlineLevel="0" collapsed="false">
      <c r="A2" s="3"/>
      <c r="B2" s="169" t="s">
        <v>382</v>
      </c>
      <c r="C2" s="3"/>
      <c r="D2" s="3"/>
      <c r="E2" s="3"/>
      <c r="F2" s="3"/>
      <c r="G2" s="3"/>
      <c r="H2" s="3"/>
    </row>
    <row r="3" customFormat="false" ht="15" hidden="false" customHeight="false" outlineLevel="0" collapsed="false">
      <c r="A3" s="5"/>
      <c r="B3" s="11" t="str">
        <f aca="false">HYPERLINK("#'Dashboard'!A1","← Back to Dashboard")</f>
        <v>← Back to Dashboard</v>
      </c>
      <c r="C3" s="5"/>
      <c r="D3" s="5"/>
      <c r="E3" s="5"/>
      <c r="F3" s="5"/>
      <c r="G3" s="5"/>
      <c r="H3" s="5"/>
    </row>
    <row r="4" customFormat="false" ht="23.85" hidden="false" customHeight="false" outlineLevel="0" collapsed="false">
      <c r="A4" s="108"/>
      <c r="B4" s="109" t="s">
        <v>113</v>
      </c>
      <c r="C4" s="109" t="s">
        <v>383</v>
      </c>
      <c r="D4" s="109" t="s">
        <v>384</v>
      </c>
      <c r="E4" s="109" t="s">
        <v>385</v>
      </c>
      <c r="F4" s="109" t="s">
        <v>386</v>
      </c>
      <c r="G4" s="109" t="s">
        <v>280</v>
      </c>
      <c r="H4" s="109" t="s">
        <v>387</v>
      </c>
    </row>
    <row r="5" customFormat="false" ht="15" hidden="false" customHeight="false" outlineLevel="0" collapsed="false">
      <c r="A5" s="5"/>
      <c r="B5" s="170" t="s">
        <v>43</v>
      </c>
      <c r="C5" s="133" t="n">
        <f aca="false">Forecast!B10+Forecast!E10</f>
        <v>5205</v>
      </c>
      <c r="D5" s="133" t="n">
        <f aca="false">Forecast!C10+Forecast!F10</f>
        <v>6222.006</v>
      </c>
      <c r="E5" s="129" t="n">
        <f aca="false">D5/C5-1</f>
        <v>0.195390201729106</v>
      </c>
      <c r="F5" s="133" t="n">
        <f aca="false">Forecast!C20+Forecast!F20</f>
        <v>878.215716</v>
      </c>
      <c r="G5" s="129" t="n">
        <f aca="false">F5/D5</f>
        <v>0.141146716348393</v>
      </c>
      <c r="H5" s="171" t="s">
        <v>388</v>
      </c>
    </row>
    <row r="6" customFormat="false" ht="15" hidden="false" customHeight="false" outlineLevel="0" collapsed="false">
      <c r="A6" s="5"/>
      <c r="B6" s="172" t="s">
        <v>45</v>
      </c>
      <c r="C6" s="133" t="n">
        <f aca="false">Forecast!B11+Forecast!E11</f>
        <v>4774</v>
      </c>
      <c r="D6" s="133" t="n">
        <f aca="false">Forecast!C11+Forecast!F11</f>
        <v>5708.99</v>
      </c>
      <c r="E6" s="129" t="n">
        <f aca="false">D6/C6-1</f>
        <v>0.195850439882698</v>
      </c>
      <c r="F6" s="133" t="n">
        <f aca="false">Forecast!C21+Forecast!F21</f>
        <v>828.567825</v>
      </c>
      <c r="G6" s="129" t="n">
        <f aca="false">F6/D6</f>
        <v>0.145133872191053</v>
      </c>
      <c r="H6" s="171" t="s">
        <v>388</v>
      </c>
    </row>
    <row r="7" customFormat="false" ht="15" hidden="false" customHeight="false" outlineLevel="0" collapsed="false">
      <c r="A7" s="5"/>
      <c r="B7" s="173" t="s">
        <v>46</v>
      </c>
      <c r="C7" s="133" t="n">
        <f aca="false">Forecast!B12+Forecast!E12</f>
        <v>6457</v>
      </c>
      <c r="D7" s="133" t="n">
        <f aca="false">Forecast!C12+Forecast!F12</f>
        <v>7298.67</v>
      </c>
      <c r="E7" s="129" t="n">
        <f aca="false">D7/C7-1</f>
        <v>0.130350007743534</v>
      </c>
      <c r="F7" s="133" t="n">
        <f aca="false">Forecast!C22+Forecast!F22</f>
        <v>1014.51513</v>
      </c>
      <c r="G7" s="129" t="n">
        <f aca="false">F7/D7</f>
        <v>0.139</v>
      </c>
      <c r="H7" s="171" t="s">
        <v>389</v>
      </c>
    </row>
    <row r="8" customFormat="false" ht="15" hidden="false" customHeight="false" outlineLevel="0" collapsed="false">
      <c r="A8" s="5"/>
      <c r="B8" s="174" t="s">
        <v>47</v>
      </c>
      <c r="C8" s="133" t="n">
        <f aca="false">Forecast!B13+Forecast!E13</f>
        <v>3925</v>
      </c>
      <c r="D8" s="133" t="n">
        <f aca="false">Forecast!C13+Forecast!F13</f>
        <v>4573.63</v>
      </c>
      <c r="E8" s="129" t="n">
        <f aca="false">D8/C8-1</f>
        <v>0.165256050955414</v>
      </c>
      <c r="F8" s="133" t="n">
        <f aca="false">Forecast!C23+Forecast!F23</f>
        <v>1102.1079</v>
      </c>
      <c r="G8" s="129" t="n">
        <f aca="false">F8/D8</f>
        <v>0.240970060980009</v>
      </c>
      <c r="H8" s="171" t="s">
        <v>389</v>
      </c>
    </row>
    <row r="9" customFormat="false" ht="15" hidden="false" customHeight="false" outlineLevel="0" collapsed="false">
      <c r="A9" s="5"/>
      <c r="B9" s="16" t="s">
        <v>390</v>
      </c>
      <c r="C9" s="5"/>
      <c r="D9" s="133" t="n">
        <f aca="false">Forecast!C14+Forecast!F14</f>
        <v>130.84</v>
      </c>
      <c r="E9" s="5"/>
      <c r="F9" s="133" t="n">
        <f aca="false">Forecast!C24+Forecast!F24</f>
        <v>-130</v>
      </c>
      <c r="G9" s="5"/>
      <c r="H9" s="5"/>
    </row>
    <row r="10" customFormat="false" ht="15" hidden="false" customHeight="false" outlineLevel="0" collapsed="false">
      <c r="A10" s="5"/>
      <c r="B10" s="16" t="s">
        <v>391</v>
      </c>
      <c r="C10" s="5"/>
      <c r="D10" s="5"/>
      <c r="E10" s="5"/>
      <c r="F10" s="133" t="n">
        <f aca="false">Forecast!C25+Forecast!F25</f>
        <v>-50</v>
      </c>
      <c r="G10" s="5"/>
      <c r="H10" s="5"/>
    </row>
    <row r="11" customFormat="false" ht="15" hidden="false" customHeight="false" outlineLevel="0" collapsed="false">
      <c r="A11" s="5"/>
      <c r="B11" s="16" t="s">
        <v>392</v>
      </c>
      <c r="C11" s="5"/>
      <c r="D11" s="143" t="n">
        <f aca="false">-(Forecast!C16+Forecast!F16)/(Forecast!C15+Forecast!F15)</f>
        <v>0.187</v>
      </c>
      <c r="E11" s="5"/>
      <c r="F11" s="5"/>
      <c r="G11" s="5"/>
      <c r="H11" s="5"/>
    </row>
    <row r="12" customFormat="false" ht="15" hidden="false" customHeight="false" outlineLevel="0" collapsed="false">
      <c r="A12" s="5"/>
      <c r="B12" s="16" t="s">
        <v>393</v>
      </c>
      <c r="C12" s="5"/>
      <c r="D12" s="133" t="n">
        <f aca="false">Forecast!H17</f>
        <v>17855</v>
      </c>
      <c r="E12" s="5"/>
      <c r="F12" s="5"/>
      <c r="G12" s="5"/>
      <c r="H12" s="5"/>
    </row>
    <row r="13" customFormat="false" ht="15" hidden="false" customHeight="false" outlineLevel="0" collapsed="false">
      <c r="A13" s="5"/>
      <c r="B13" s="16" t="s">
        <v>394</v>
      </c>
      <c r="C13" s="5"/>
      <c r="D13" s="133" t="n">
        <f aca="false">Forecast!H29</f>
        <v>3142</v>
      </c>
      <c r="E13" s="5"/>
      <c r="F13" s="5"/>
      <c r="G13" s="5"/>
      <c r="H13" s="5"/>
    </row>
    <row r="14" customFormat="false" ht="15" hidden="false" customHeight="false" outlineLevel="0" collapsed="false">
      <c r="A14" s="5"/>
      <c r="B14" s="16" t="s">
        <v>395</v>
      </c>
      <c r="C14" s="5"/>
      <c r="D14" s="133" t="n">
        <f aca="false">Forecast!J17</f>
        <v>33670</v>
      </c>
      <c r="E14" s="5"/>
      <c r="F14" s="5"/>
      <c r="G14" s="5"/>
      <c r="H14" s="5"/>
    </row>
    <row r="15" customFormat="false" ht="15" hidden="false" customHeight="false" outlineLevel="0" collapsed="false">
      <c r="A15" s="5"/>
      <c r="B15" s="5"/>
      <c r="C15" s="5"/>
      <c r="D15" s="5"/>
      <c r="E15" s="5"/>
      <c r="F15" s="5"/>
      <c r="G15" s="5"/>
      <c r="H15" s="5"/>
    </row>
    <row r="16" customFormat="false" ht="15" hidden="false" customHeight="false" outlineLevel="0" collapsed="false">
      <c r="A16" s="108"/>
      <c r="B16" s="109" t="s">
        <v>396</v>
      </c>
      <c r="C16" s="109" t="s">
        <v>96</v>
      </c>
      <c r="D16" s="109" t="s">
        <v>94</v>
      </c>
      <c r="E16" s="109" t="s">
        <v>97</v>
      </c>
      <c r="F16" s="109" t="s">
        <v>98</v>
      </c>
      <c r="G16" s="109" t="s">
        <v>99</v>
      </c>
      <c r="H16" s="5"/>
    </row>
    <row r="17" customFormat="false" ht="15" hidden="false" customHeight="false" outlineLevel="0" collapsed="false">
      <c r="A17" s="5"/>
      <c r="B17" s="16" t="s">
        <v>397</v>
      </c>
      <c r="C17" s="143" t="n">
        <f aca="false">Dashboard!E18</f>
        <v>-0.08</v>
      </c>
      <c r="D17" s="143" t="n">
        <f aca="false">Dashboard!F18</f>
        <v>0</v>
      </c>
      <c r="E17" s="143" t="n">
        <f aca="false">Dashboard!G18</f>
        <v>0.08</v>
      </c>
      <c r="F17" s="143" t="n">
        <f aca="false">Dashboard!H18</f>
        <v>-0.05</v>
      </c>
      <c r="G17" s="143" t="n">
        <f aca="false">Dashboard!I18</f>
        <v>0</v>
      </c>
      <c r="H17" s="5"/>
    </row>
    <row r="18" customFormat="false" ht="15" hidden="false" customHeight="false" outlineLevel="0" collapsed="false">
      <c r="A18" s="5"/>
      <c r="B18" s="16" t="s">
        <v>398</v>
      </c>
      <c r="C18" s="143" t="n">
        <f aca="false">Dashboard!E19</f>
        <v>-0.07</v>
      </c>
      <c r="D18" s="143" t="n">
        <f aca="false">Dashboard!F19</f>
        <v>0</v>
      </c>
      <c r="E18" s="143" t="n">
        <f aca="false">Dashboard!G19</f>
        <v>0.07</v>
      </c>
      <c r="F18" s="143" t="n">
        <f aca="false">Dashboard!H19</f>
        <v>0</v>
      </c>
      <c r="G18" s="143" t="n">
        <f aca="false">Dashboard!I19</f>
        <v>0</v>
      </c>
      <c r="H18" s="5"/>
    </row>
    <row r="19" customFormat="false" ht="15" hidden="false" customHeight="false" outlineLevel="0" collapsed="false">
      <c r="A19" s="5"/>
      <c r="B19" s="16" t="s">
        <v>399</v>
      </c>
      <c r="C19" s="143" t="n">
        <f aca="false">Dashboard!E20</f>
        <v>-0.005</v>
      </c>
      <c r="D19" s="143" t="n">
        <f aca="false">Dashboard!F20</f>
        <v>0</v>
      </c>
      <c r="E19" s="143" t="n">
        <f aca="false">Dashboard!G20</f>
        <v>0.005</v>
      </c>
      <c r="F19" s="143" t="n">
        <f aca="false">Dashboard!H20</f>
        <v>0</v>
      </c>
      <c r="G19" s="143" t="n">
        <f aca="false">Dashboard!I20</f>
        <v>0</v>
      </c>
      <c r="H19" s="5"/>
    </row>
    <row r="20" customFormat="false" ht="15" hidden="false" customHeight="false" outlineLevel="0" collapsed="false">
      <c r="A20" s="5"/>
      <c r="B20" s="16" t="s">
        <v>400</v>
      </c>
      <c r="C20" s="134" t="n">
        <f aca="false">$C5*(1+$E5+IF($H5="Truck",C$17,C$18))</f>
        <v>5805.606</v>
      </c>
      <c r="D20" s="134" t="n">
        <f aca="false">$C5*(1+$E5+IF($H5="Truck",D$17,D$18))</f>
        <v>6222.006</v>
      </c>
      <c r="E20" s="134" t="n">
        <f aca="false">$C5*(1+$E5+IF($H5="Truck",E$17,E$18))</f>
        <v>6638.406</v>
      </c>
      <c r="F20" s="134" t="n">
        <f aca="false">$C5*(1+$E5+IF($H5="Truck",F$17,F$18))</f>
        <v>5961.756</v>
      </c>
      <c r="G20" s="134" t="n">
        <f aca="false">$C5*(1+$E5+IF($H5="Truck",G$17,G$18))</f>
        <v>6222.006</v>
      </c>
      <c r="H20" s="5"/>
    </row>
    <row r="21" customFormat="false" ht="15" hidden="false" customHeight="false" outlineLevel="0" collapsed="false">
      <c r="A21" s="5"/>
      <c r="B21" s="16" t="s">
        <v>401</v>
      </c>
      <c r="C21" s="134" t="n">
        <f aca="false">$C6*(1+$E6+IF($H6="Truck",C$17,C$18))</f>
        <v>5327.07</v>
      </c>
      <c r="D21" s="134" t="n">
        <f aca="false">$C6*(1+$E6+IF($H6="Truck",D$17,D$18))</f>
        <v>5708.99</v>
      </c>
      <c r="E21" s="134" t="n">
        <f aca="false">$C6*(1+$E6+IF($H6="Truck",E$17,E$18))</f>
        <v>6090.91</v>
      </c>
      <c r="F21" s="134" t="n">
        <f aca="false">$C6*(1+$E6+IF($H6="Truck",F$17,F$18))</f>
        <v>5470.29</v>
      </c>
      <c r="G21" s="134" t="n">
        <f aca="false">$C6*(1+$E6+IF($H6="Truck",G$17,G$18))</f>
        <v>5708.99</v>
      </c>
      <c r="H21" s="5"/>
    </row>
    <row r="22" customFormat="false" ht="15" hidden="false" customHeight="false" outlineLevel="0" collapsed="false">
      <c r="A22" s="5"/>
      <c r="B22" s="16" t="s">
        <v>402</v>
      </c>
      <c r="C22" s="134" t="n">
        <f aca="false">$C7*(1+$E7+IF($H7="Truck",C$17,C$18))</f>
        <v>6846.68</v>
      </c>
      <c r="D22" s="134" t="n">
        <f aca="false">$C7*(1+$E7+IF($H7="Truck",D$17,D$18))</f>
        <v>7298.67</v>
      </c>
      <c r="E22" s="134" t="n">
        <f aca="false">$C7*(1+$E7+IF($H7="Truck",E$17,E$18))</f>
        <v>7750.66</v>
      </c>
      <c r="F22" s="134" t="n">
        <f aca="false">$C7*(1+$E7+IF($H7="Truck",F$17,F$18))</f>
        <v>7298.67</v>
      </c>
      <c r="G22" s="134" t="n">
        <f aca="false">$C7*(1+$E7+IF($H7="Truck",G$17,G$18))</f>
        <v>7298.67</v>
      </c>
      <c r="H22" s="5"/>
    </row>
    <row r="23" customFormat="false" ht="15" hidden="false" customHeight="false" outlineLevel="0" collapsed="false">
      <c r="A23" s="5"/>
      <c r="B23" s="16" t="s">
        <v>403</v>
      </c>
      <c r="C23" s="134" t="n">
        <f aca="false">$C8*(1+$E8+IF($H8="Truck",C$17,C$18))</f>
        <v>4298.88</v>
      </c>
      <c r="D23" s="134" t="n">
        <f aca="false">$C8*(1+$E8+IF($H8="Truck",D$17,D$18))</f>
        <v>4573.63</v>
      </c>
      <c r="E23" s="134" t="n">
        <f aca="false">$C8*(1+$E8+IF($H8="Truck",E$17,E$18))</f>
        <v>4848.38</v>
      </c>
      <c r="F23" s="134" t="n">
        <f aca="false">$C8*(1+$E8+IF($H8="Truck",F$17,F$18))</f>
        <v>4573.63</v>
      </c>
      <c r="G23" s="134" t="n">
        <f aca="false">$C8*(1+$E8+IF($H8="Truck",G$17,G$18))</f>
        <v>4573.63</v>
      </c>
      <c r="H23" s="5"/>
    </row>
    <row r="24" customFormat="false" ht="15" hidden="false" customHeight="false" outlineLevel="0" collapsed="false">
      <c r="A24" s="5"/>
      <c r="B24" s="16" t="s">
        <v>404</v>
      </c>
      <c r="C24" s="134" t="n">
        <f aca="false">$D$9</f>
        <v>130.84</v>
      </c>
      <c r="D24" s="134" t="n">
        <f aca="false">$D$9</f>
        <v>130.84</v>
      </c>
      <c r="E24" s="134" t="n">
        <f aca="false">$D$9</f>
        <v>130.84</v>
      </c>
      <c r="F24" s="134" t="n">
        <f aca="false">$D$9</f>
        <v>130.84</v>
      </c>
      <c r="G24" s="134" t="n">
        <f aca="false">$D$9</f>
        <v>130.84</v>
      </c>
      <c r="H24" s="5"/>
    </row>
    <row r="25" customFormat="false" ht="15" hidden="false" customHeight="false" outlineLevel="0" collapsed="false">
      <c r="A25" s="5"/>
      <c r="B25" s="9" t="s">
        <v>405</v>
      </c>
      <c r="C25" s="140" t="n">
        <f aca="false">SUM(C20:C24)</f>
        <v>22409.076</v>
      </c>
      <c r="D25" s="140" t="n">
        <f aca="false">SUM(D20:D24)</f>
        <v>23934.136</v>
      </c>
      <c r="E25" s="140" t="n">
        <f aca="false">SUM(E20:E24)</f>
        <v>25459.196</v>
      </c>
      <c r="F25" s="140" t="n">
        <f aca="false">SUM(F20:F24)</f>
        <v>23435.186</v>
      </c>
      <c r="G25" s="140" t="n">
        <f aca="false">SUM(G20:G24)</f>
        <v>23934.136</v>
      </c>
      <c r="H25" s="5"/>
    </row>
    <row r="26" customFormat="false" ht="15" hidden="false" customHeight="false" outlineLevel="0" collapsed="false">
      <c r="A26" s="5"/>
      <c r="B26" s="16" t="s">
        <v>406</v>
      </c>
      <c r="C26" s="134" t="n">
        <f aca="false">-C25*$D$11</f>
        <v>-4190.497212</v>
      </c>
      <c r="D26" s="134" t="n">
        <f aca="false">-D25*$D$11</f>
        <v>-4475.683432</v>
      </c>
      <c r="E26" s="134" t="n">
        <f aca="false">-E25*$D$11</f>
        <v>-4760.869652</v>
      </c>
      <c r="F26" s="134" t="n">
        <f aca="false">-F25*$D$11</f>
        <v>-4382.379782</v>
      </c>
      <c r="G26" s="134" t="n">
        <f aca="false">-G25*$D$11</f>
        <v>-4475.683432</v>
      </c>
      <c r="H26" s="5"/>
    </row>
    <row r="27" customFormat="false" ht="15" hidden="false" customHeight="false" outlineLevel="0" collapsed="false">
      <c r="A27" s="5"/>
      <c r="B27" s="9" t="s">
        <v>407</v>
      </c>
      <c r="C27" s="140" t="n">
        <f aca="false">C25+C26</f>
        <v>18218.578788</v>
      </c>
      <c r="D27" s="140" t="n">
        <f aca="false">D25+D26</f>
        <v>19458.452568</v>
      </c>
      <c r="E27" s="140" t="n">
        <f aca="false">E25+E26</f>
        <v>20698.326348</v>
      </c>
      <c r="F27" s="140" t="n">
        <f aca="false">F25+F26</f>
        <v>19052.806218</v>
      </c>
      <c r="G27" s="140" t="n">
        <f aca="false">G25+G26</f>
        <v>19458.452568</v>
      </c>
      <c r="H27" s="5"/>
    </row>
    <row r="28" customFormat="false" ht="15" hidden="false" customHeight="false" outlineLevel="0" collapsed="false">
      <c r="A28" s="5"/>
      <c r="B28" s="5"/>
      <c r="C28" s="5"/>
      <c r="D28" s="5"/>
      <c r="E28" s="5"/>
      <c r="F28" s="5"/>
      <c r="G28" s="5"/>
      <c r="H28" s="5"/>
    </row>
    <row r="29" customFormat="false" ht="15" hidden="false" customHeight="false" outlineLevel="0" collapsed="false">
      <c r="A29" s="5"/>
      <c r="B29" s="9" t="s">
        <v>408</v>
      </c>
      <c r="C29" s="140" t="n">
        <f aca="false">$D$12+C27</f>
        <v>36073.578788</v>
      </c>
      <c r="D29" s="140" t="n">
        <f aca="false">$D$12+D27</f>
        <v>37313.452568</v>
      </c>
      <c r="E29" s="140" t="n">
        <f aca="false">$D$12+E27</f>
        <v>38553.326348</v>
      </c>
      <c r="F29" s="140" t="n">
        <f aca="false">$D$12+F27</f>
        <v>36907.806218</v>
      </c>
      <c r="G29" s="140" t="n">
        <f aca="false">$D$12+G27</f>
        <v>37313.452568</v>
      </c>
      <c r="H29" s="5"/>
    </row>
    <row r="30" customFormat="false" ht="15" hidden="false" customHeight="false" outlineLevel="0" collapsed="false">
      <c r="A30" s="5"/>
      <c r="B30" s="9" t="s">
        <v>409</v>
      </c>
      <c r="C30" s="141" t="n">
        <f aca="false">C29/$D$14-1</f>
        <v>0.0713863613899615</v>
      </c>
      <c r="D30" s="141" t="n">
        <f aca="false">D29/$D$14-1</f>
        <v>0.10821064948025</v>
      </c>
      <c r="E30" s="141" t="n">
        <f aca="false">E29/$D$14-1</f>
        <v>0.145034937570538</v>
      </c>
      <c r="F30" s="141" t="n">
        <f aca="false">F29/$D$14-1</f>
        <v>0.0961629408375408</v>
      </c>
      <c r="G30" s="141" t="n">
        <f aca="false">G29/$D$14-1</f>
        <v>0.10821064948025</v>
      </c>
      <c r="H30" s="5"/>
    </row>
    <row r="31" customFormat="false" ht="15" hidden="false" customHeight="false" outlineLevel="0" collapsed="false">
      <c r="A31" s="5"/>
      <c r="B31" s="16" t="s">
        <v>410</v>
      </c>
      <c r="C31" s="134" t="n">
        <f aca="false">C20*($G5+C$19)</f>
        <v>790.414193312529</v>
      </c>
      <c r="D31" s="134" t="n">
        <f aca="false">D20*($G5+D$19)</f>
        <v>878.215716</v>
      </c>
      <c r="E31" s="134" t="n">
        <f aca="false">E20*($G5+E$19)</f>
        <v>970.181238687471</v>
      </c>
      <c r="F31" s="134" t="n">
        <f aca="false">F20*($G5+F$19)</f>
        <v>841.482283070331</v>
      </c>
      <c r="G31" s="134" t="n">
        <f aca="false">G20*($G5+G$19)</f>
        <v>878.215716</v>
      </c>
      <c r="H31" s="5"/>
    </row>
    <row r="32" customFormat="false" ht="15" hidden="false" customHeight="false" outlineLevel="0" collapsed="false">
      <c r="A32" s="5"/>
      <c r="B32" s="16" t="s">
        <v>411</v>
      </c>
      <c r="C32" s="134" t="n">
        <f aca="false">C21*($G6+C$19)</f>
        <v>746.502946532793</v>
      </c>
      <c r="D32" s="134" t="n">
        <f aca="false">D21*($G6+D$19)</f>
        <v>828.567825</v>
      </c>
      <c r="E32" s="134" t="n">
        <f aca="false">E21*($G6+E$19)</f>
        <v>914.451903467207</v>
      </c>
      <c r="F32" s="134" t="n">
        <f aca="false">F21*($G6+F$19)</f>
        <v>793.924369707996</v>
      </c>
      <c r="G32" s="134" t="n">
        <f aca="false">G21*($G6+G$19)</f>
        <v>828.567825</v>
      </c>
      <c r="H32" s="5"/>
    </row>
    <row r="33" customFormat="false" ht="15" hidden="false" customHeight="false" outlineLevel="0" collapsed="false">
      <c r="A33" s="5"/>
      <c r="B33" s="16" t="s">
        <v>412</v>
      </c>
      <c r="C33" s="134" t="n">
        <f aca="false">C22*($G7+C$19)</f>
        <v>917.45512</v>
      </c>
      <c r="D33" s="134" t="n">
        <f aca="false">D22*($G7+D$19)</f>
        <v>1014.51513</v>
      </c>
      <c r="E33" s="134" t="n">
        <f aca="false">E22*($G7+E$19)</f>
        <v>1116.09504</v>
      </c>
      <c r="F33" s="134" t="n">
        <f aca="false">F22*($G7+F$19)</f>
        <v>1014.51513</v>
      </c>
      <c r="G33" s="134" t="n">
        <f aca="false">G22*($G7+G$19)</f>
        <v>1014.51513</v>
      </c>
      <c r="H33" s="5"/>
    </row>
    <row r="34" customFormat="false" ht="15" hidden="false" customHeight="false" outlineLevel="0" collapsed="false">
      <c r="A34" s="5"/>
      <c r="B34" s="16" t="s">
        <v>413</v>
      </c>
      <c r="C34" s="134" t="n">
        <f aca="false">C23*($G8+C$19)</f>
        <v>1014.40697574574</v>
      </c>
      <c r="D34" s="134" t="n">
        <f aca="false">D23*($G8+D$19)</f>
        <v>1102.1079</v>
      </c>
      <c r="E34" s="134" t="n">
        <f aca="false">E23*($G8+E$19)</f>
        <v>1192.55632425426</v>
      </c>
      <c r="F34" s="134" t="n">
        <f aca="false">F23*($G8+F$19)</f>
        <v>1102.1079</v>
      </c>
      <c r="G34" s="134" t="n">
        <f aca="false">G23*($G8+G$19)</f>
        <v>1102.1079</v>
      </c>
      <c r="H34" s="5"/>
    </row>
    <row r="35" customFormat="false" ht="15" hidden="false" customHeight="false" outlineLevel="0" collapsed="false">
      <c r="A35" s="5"/>
      <c r="B35" s="16" t="s">
        <v>414</v>
      </c>
      <c r="C35" s="134" t="n">
        <f aca="false">$F$9+$F$10</f>
        <v>-180</v>
      </c>
      <c r="D35" s="134" t="n">
        <f aca="false">$F$9+$F$10</f>
        <v>-180</v>
      </c>
      <c r="E35" s="134" t="n">
        <f aca="false">$F$9+$F$10</f>
        <v>-180</v>
      </c>
      <c r="F35" s="134" t="n">
        <f aca="false">$F$9+$F$10</f>
        <v>-180</v>
      </c>
      <c r="G35" s="134" t="n">
        <f aca="false">$F$9+$F$10</f>
        <v>-180</v>
      </c>
      <c r="H35" s="5"/>
    </row>
    <row r="36" customFormat="false" ht="15" hidden="false" customHeight="false" outlineLevel="0" collapsed="false">
      <c r="A36" s="5"/>
      <c r="B36" s="9" t="s">
        <v>415</v>
      </c>
      <c r="C36" s="140" t="n">
        <f aca="false">SUM(C31:C35)</f>
        <v>3288.77923559106</v>
      </c>
      <c r="D36" s="140" t="n">
        <f aca="false">SUM(D31:D35)</f>
        <v>3643.406571</v>
      </c>
      <c r="E36" s="140" t="n">
        <f aca="false">SUM(E31:E35)</f>
        <v>4013.28450640894</v>
      </c>
      <c r="F36" s="140" t="n">
        <f aca="false">SUM(F31:F35)</f>
        <v>3572.02968277833</v>
      </c>
      <c r="G36" s="140" t="n">
        <f aca="false">SUM(G31:G35)</f>
        <v>3643.406571</v>
      </c>
      <c r="H36" s="5"/>
    </row>
    <row r="37" customFormat="false" ht="15" hidden="false" customHeight="false" outlineLevel="0" collapsed="false">
      <c r="A37" s="5"/>
      <c r="B37" s="9" t="s">
        <v>416</v>
      </c>
      <c r="C37" s="140" t="n">
        <f aca="false">$D$13+C36</f>
        <v>6430.77923559106</v>
      </c>
      <c r="D37" s="140" t="n">
        <f aca="false">$D$13+D36</f>
        <v>6785.406571</v>
      </c>
      <c r="E37" s="140" t="n">
        <f aca="false">$D$13+E36</f>
        <v>7155.28450640894</v>
      </c>
      <c r="F37" s="140" t="n">
        <f aca="false">$D$13+F36</f>
        <v>6714.02968277833</v>
      </c>
      <c r="G37" s="140" t="n">
        <f aca="false">$D$13+G36</f>
        <v>6785.406571</v>
      </c>
      <c r="H37" s="5"/>
    </row>
    <row r="38" customFormat="false" ht="15" hidden="false" customHeight="false" outlineLevel="0" collapsed="false">
      <c r="A38" s="5"/>
      <c r="B38" s="9" t="s">
        <v>341</v>
      </c>
      <c r="C38" s="141" t="n">
        <f aca="false">C37/C29</f>
        <v>0.178268401740342</v>
      </c>
      <c r="D38" s="141" t="n">
        <f aca="false">D37/D29</f>
        <v>0.181848799937081</v>
      </c>
      <c r="E38" s="141" t="n">
        <f aca="false">E37/E29</f>
        <v>0.18559447871818</v>
      </c>
      <c r="F38" s="141" t="n">
        <f aca="false">F37/F29</f>
        <v>0.181913540000757</v>
      </c>
      <c r="G38" s="141" t="n">
        <f aca="false">G37/G29</f>
        <v>0.181848799937081</v>
      </c>
      <c r="H38" s="5"/>
    </row>
    <row r="39" customFormat="false" ht="15" hidden="false" customHeight="false" outlineLevel="0" collapsed="false">
      <c r="A39" s="5"/>
      <c r="B39" s="5"/>
      <c r="C39" s="5"/>
      <c r="D39" s="5"/>
      <c r="E39" s="5"/>
      <c r="F39" s="5"/>
      <c r="G39" s="5"/>
      <c r="H39" s="5"/>
    </row>
    <row r="40" customFormat="false" ht="15" hidden="false" customHeight="false" outlineLevel="0" collapsed="false">
      <c r="A40" s="5"/>
      <c r="B40" s="25" t="s">
        <v>417</v>
      </c>
      <c r="C40" s="5"/>
      <c r="D40" s="166" t="n">
        <f aca="false">D29-Forecast!I17</f>
        <v>0</v>
      </c>
      <c r="E40" s="5"/>
      <c r="F40" s="5"/>
      <c r="G40" s="5"/>
      <c r="H40" s="5"/>
    </row>
    <row r="41" customFormat="false" ht="15" hidden="false" customHeight="false" outlineLevel="0" collapsed="false">
      <c r="A41" s="5"/>
      <c r="B41" s="25" t="s">
        <v>418</v>
      </c>
      <c r="C41" s="5"/>
      <c r="D41" s="166" t="n">
        <f aca="false">D37-Forecast!I29</f>
        <v>0</v>
      </c>
      <c r="E41" s="5"/>
      <c r="F41" s="5"/>
      <c r="G41" s="5"/>
      <c r="H41"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6"/>
  </cols>
  <sheetData>
    <row r="1" customFormat="false" ht="15" hidden="false" customHeight="false" outlineLevel="0" collapsed="false">
      <c r="A1" s="9" t="s">
        <v>419</v>
      </c>
      <c r="B1" s="9" t="s">
        <v>420</v>
      </c>
      <c r="C1" s="9" t="s">
        <v>421</v>
      </c>
      <c r="D1" s="9" t="s">
        <v>281</v>
      </c>
      <c r="E1" s="9" t="s">
        <v>422</v>
      </c>
    </row>
    <row r="2" customFormat="false" ht="15" hidden="false" customHeight="false" outlineLevel="0" collapsed="false">
      <c r="A2" s="16" t="s">
        <v>423</v>
      </c>
      <c r="B2" s="175" t="n">
        <f aca="false">Historicals!B13/1000</f>
        <v>8.174</v>
      </c>
      <c r="C2" s="5"/>
      <c r="D2" s="176" t="n">
        <f aca="false">Historicals!B30</f>
        <v>0.178615121115733</v>
      </c>
      <c r="E2" s="5"/>
    </row>
    <row r="3" customFormat="false" ht="15" hidden="false" customHeight="false" outlineLevel="0" collapsed="false">
      <c r="A3" s="16" t="s">
        <v>424</v>
      </c>
      <c r="B3" s="175" t="n">
        <f aca="false">Historicals!C13/1000</f>
        <v>8.643</v>
      </c>
      <c r="C3" s="5"/>
      <c r="D3" s="176" t="n">
        <f aca="false">Historicals!C30</f>
        <v>0.183616799722319</v>
      </c>
      <c r="E3" s="5"/>
    </row>
    <row r="4" customFormat="false" ht="15" hidden="false" customHeight="false" outlineLevel="0" collapsed="false">
      <c r="A4" s="16" t="s">
        <v>425</v>
      </c>
      <c r="B4" s="175" t="n">
        <f aca="false">Historicals!D13/1000</f>
        <v>8.317</v>
      </c>
      <c r="C4" s="5"/>
      <c r="D4" s="176" t="n">
        <f aca="false">Historicals!D30</f>
        <v>0.171576289527474</v>
      </c>
      <c r="E4" s="5"/>
    </row>
    <row r="5" customFormat="false" ht="15" hidden="false" customHeight="false" outlineLevel="0" collapsed="false">
      <c r="A5" s="16" t="s">
        <v>426</v>
      </c>
      <c r="B5" s="175" t="n">
        <f aca="false">Historicals!E13/1000</f>
        <v>8.536</v>
      </c>
      <c r="C5" s="5"/>
      <c r="D5" s="176" t="n">
        <f aca="false">Historicals!E30</f>
        <v>0.160379568884724</v>
      </c>
      <c r="E5" s="5"/>
    </row>
    <row r="6" customFormat="false" ht="15" hidden="false" customHeight="false" outlineLevel="0" collapsed="false">
      <c r="A6" s="16" t="s">
        <v>427</v>
      </c>
      <c r="B6" s="175" t="n">
        <f aca="false">Historicals!G13/1000</f>
        <v>8.398</v>
      </c>
      <c r="C6" s="5"/>
      <c r="D6" s="176" t="n">
        <f aca="false">Historicals!G30</f>
        <v>0.177304120028578</v>
      </c>
      <c r="E6" s="5"/>
    </row>
    <row r="7" customFormat="false" ht="15" hidden="false" customHeight="false" outlineLevel="0" collapsed="false">
      <c r="A7" s="16" t="s">
        <v>428</v>
      </c>
      <c r="B7" s="175" t="n">
        <f aca="false">Historicals!H13/1000</f>
        <v>9.457</v>
      </c>
      <c r="C7" s="5"/>
      <c r="D7" s="176" t="n">
        <f aca="false">Historicals!H30</f>
        <v>0.174791159987311</v>
      </c>
      <c r="E7" s="176" t="n">
        <f aca="false">Historicals!H30</f>
        <v>0.174791159987311</v>
      </c>
    </row>
    <row r="8" customFormat="false" ht="15" hidden="false" customHeight="false" outlineLevel="0" collapsed="false">
      <c r="A8" s="16" t="s">
        <v>429</v>
      </c>
      <c r="B8" s="5"/>
      <c r="C8" s="175" t="n">
        <f aca="false">Forecast!C17/1000</f>
        <v>9.481934448</v>
      </c>
      <c r="D8" s="5"/>
      <c r="E8" s="176" t="n">
        <f aca="false">Forecast!C30</f>
        <v>0.185652006523975</v>
      </c>
    </row>
    <row r="9" customFormat="false" ht="15" hidden="false" customHeight="false" outlineLevel="0" collapsed="false">
      <c r="A9" s="16" t="s">
        <v>430</v>
      </c>
      <c r="B9" s="5"/>
      <c r="C9" s="175" t="n">
        <f aca="false">Forecast!F17/1000</f>
        <v>9.97651812</v>
      </c>
      <c r="D9" s="5"/>
      <c r="E9" s="176" t="n">
        <f aca="false">Forecast!F30</f>
        <v>0.188749861660152</v>
      </c>
    </row>
    <row r="10" customFormat="false" ht="15" hidden="false" customHeight="false" outlineLevel="0" collapsed="false">
      <c r="A10" s="5"/>
      <c r="B10" s="5"/>
      <c r="C10" s="5"/>
      <c r="D10" s="5"/>
      <c r="E10" s="5"/>
    </row>
    <row r="11" customFormat="false" ht="15" hidden="false" customHeight="false" outlineLevel="0" collapsed="false">
      <c r="A11" s="9" t="s">
        <v>113</v>
      </c>
      <c r="B11" s="9" t="s">
        <v>431</v>
      </c>
      <c r="C11" s="5"/>
      <c r="D11" s="11" t="str">
        <f aca="false">HYPERLINK("#'Dashboard'!A1","← Back to Dashboard")</f>
        <v>← Back to Dashboard</v>
      </c>
      <c r="E11" s="5"/>
    </row>
    <row r="12" customFormat="false" ht="15" hidden="false" customHeight="false" outlineLevel="0" collapsed="false">
      <c r="A12" s="16" t="s">
        <v>43</v>
      </c>
      <c r="B12" s="176" t="n">
        <f aca="false">Forecast!K10</f>
        <v>0.10142583908046</v>
      </c>
      <c r="C12" s="5"/>
      <c r="D12" s="5"/>
      <c r="E12" s="5"/>
    </row>
    <row r="13" customFormat="false" ht="15" hidden="false" customHeight="false" outlineLevel="0" collapsed="false">
      <c r="A13" s="16" t="s">
        <v>45</v>
      </c>
      <c r="B13" s="176" t="n">
        <f aca="false">Forecast!K11</f>
        <v>0.0966587841166617</v>
      </c>
      <c r="C13" s="5"/>
      <c r="D13" s="5"/>
      <c r="E13" s="5"/>
    </row>
    <row r="14" customFormat="false" ht="15" hidden="false" customHeight="false" outlineLevel="0" collapsed="false">
      <c r="A14" s="16" t="s">
        <v>46</v>
      </c>
      <c r="B14" s="176" t="n">
        <f aca="false">Forecast!K12</f>
        <v>0.107671906489319</v>
      </c>
      <c r="C14" s="5"/>
      <c r="D14" s="5"/>
      <c r="E14" s="5"/>
    </row>
    <row r="15" customFormat="false" ht="15" hidden="false" customHeight="false" outlineLevel="0" collapsed="false">
      <c r="A15" s="16" t="s">
        <v>47</v>
      </c>
      <c r="B15" s="176" t="n">
        <f aca="false">Forecast!K13</f>
        <v>0.177090982178748</v>
      </c>
      <c r="C15" s="5"/>
      <c r="D15" s="5"/>
      <c r="E15" s="5"/>
    </row>
    <row r="16" customFormat="false" ht="15" hidden="false" customHeight="false" outlineLevel="0" collapsed="false">
      <c r="A16" s="16" t="s">
        <v>48</v>
      </c>
      <c r="B16" s="176" t="n">
        <f aca="false">Forecast!K14</f>
        <v>-0.180782608695652</v>
      </c>
      <c r="C16" s="5"/>
      <c r="D16" s="5"/>
      <c r="E16" s="5"/>
    </row>
    <row r="17" customFormat="false" ht="15" hidden="false" customHeight="false" outlineLevel="0" collapsed="false">
      <c r="A17" s="5"/>
      <c r="B17" s="5"/>
      <c r="C17" s="5"/>
      <c r="D17" s="5"/>
      <c r="E17" s="5"/>
    </row>
    <row r="18" customFormat="false" ht="15" hidden="false" customHeight="false" outlineLevel="0" collapsed="false">
      <c r="A18" s="9" t="s">
        <v>396</v>
      </c>
      <c r="B18" s="9" t="s">
        <v>432</v>
      </c>
      <c r="C18" s="5"/>
      <c r="D18" s="5"/>
      <c r="E18" s="5"/>
    </row>
    <row r="19" customFormat="false" ht="15" hidden="false" customHeight="false" outlineLevel="0" collapsed="false">
      <c r="A19" s="16" t="s">
        <v>96</v>
      </c>
      <c r="B19" s="175" t="n">
        <f aca="false">'Scenario Calc'!C37/1000</f>
        <v>6.43077923559106</v>
      </c>
      <c r="C19" s="5"/>
      <c r="D19" s="5"/>
      <c r="E19" s="5"/>
    </row>
    <row r="20" customFormat="false" ht="15" hidden="false" customHeight="false" outlineLevel="0" collapsed="false">
      <c r="A20" s="16" t="s">
        <v>94</v>
      </c>
      <c r="B20" s="175" t="n">
        <f aca="false">'Scenario Calc'!D37/1000</f>
        <v>6.785406571</v>
      </c>
      <c r="C20" s="5"/>
      <c r="D20" s="5"/>
      <c r="E20" s="5"/>
    </row>
    <row r="21" customFormat="false" ht="15" hidden="false" customHeight="false" outlineLevel="0" collapsed="false">
      <c r="A21" s="16" t="s">
        <v>97</v>
      </c>
      <c r="B21" s="175" t="n">
        <f aca="false">'Scenario Calc'!E37/1000</f>
        <v>7.15528450640894</v>
      </c>
      <c r="C21" s="5"/>
      <c r="D21" s="5"/>
      <c r="E21" s="5"/>
    </row>
    <row r="22" customFormat="false" ht="15" hidden="false" customHeight="false" outlineLevel="0" collapsed="false">
      <c r="A22" s="16" t="s">
        <v>98</v>
      </c>
      <c r="B22" s="175" t="n">
        <f aca="false">'Scenario Calc'!F37/1000</f>
        <v>6.71402968277833</v>
      </c>
      <c r="C22" s="5"/>
      <c r="D22" s="5"/>
      <c r="E22"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2026-10-08T18:48:15Z</dcterms:created>
  <dc:creator>openpyxl</dc:creator>
  <dc:description/>
  <dc:language>en-US</dc:language>
  <cp:lastModifiedBy/>
  <dcterms:modified xsi:type="dcterms:W3CDTF">2026-10-08T18:48:17Z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